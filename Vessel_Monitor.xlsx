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oserves-my.sharepoint.com/personal/aalungal_geoserves_com/Documents/"/>
    </mc:Choice>
  </mc:AlternateContent>
  <xr:revisionPtr revIDLastSave="0" documentId="8_{FFF935E0-8801-4F66-BC4A-6715FE350AD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Vessel Emission Reports" sheetId="1" r:id="rId1"/>
    <sheet name="MoM_Error" sheetId="3" r:id="rId2"/>
  </sheets>
  <definedNames>
    <definedName name="_xlnm._FilterDatabase" localSheetId="0" hidden="1">'Vessel Emission Reports'!$A$1:$L$44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E13" i="3"/>
  <c r="F13" i="3"/>
  <c r="G13" i="3"/>
  <c r="H13" i="3"/>
  <c r="C13" i="3"/>
</calcChain>
</file>

<file path=xl/sharedStrings.xml><?xml version="1.0" encoding="utf-8"?>
<sst xmlns="http://schemas.openxmlformats.org/spreadsheetml/2006/main" count="494" uniqueCount="129">
  <si>
    <t>Principal</t>
  </si>
  <si>
    <t>Vessel</t>
  </si>
  <si>
    <t>PIC</t>
  </si>
  <si>
    <t>Status</t>
  </si>
  <si>
    <t>Last Approved</t>
  </si>
  <si>
    <t>Issue Type</t>
  </si>
  <si>
    <t>Issue Arised Date</t>
  </si>
  <si>
    <t>Issue Resolved Date</t>
  </si>
  <si>
    <t>Biofuel History</t>
  </si>
  <si>
    <t>Biofuel Onboard</t>
  </si>
  <si>
    <t>DNV Data Updated for Biofuel</t>
  </si>
  <si>
    <t>Verifier</t>
  </si>
  <si>
    <t>OPTRA</t>
  </si>
  <si>
    <t>Albaro</t>
  </si>
  <si>
    <t>Akshay</t>
  </si>
  <si>
    <t>Approved</t>
  </si>
  <si>
    <t>UNLOCODE Errors</t>
  </si>
  <si>
    <t>NO</t>
  </si>
  <si>
    <t>DNV</t>
  </si>
  <si>
    <t>OMM</t>
  </si>
  <si>
    <t>Caravos Explorer II</t>
  </si>
  <si>
    <t>Port Code Consistency Error</t>
  </si>
  <si>
    <t>Caravos Liberty</t>
  </si>
  <si>
    <t>Bertolle</t>
  </si>
  <si>
    <t>Abhinav</t>
  </si>
  <si>
    <t>Yes</t>
  </si>
  <si>
    <t>HTM Defender</t>
  </si>
  <si>
    <t>Amansinh</t>
  </si>
  <si>
    <t>Awaiting</t>
  </si>
  <si>
    <t>Jan</t>
  </si>
  <si>
    <t>YES</t>
  </si>
  <si>
    <t>HTM Grenadier</t>
  </si>
  <si>
    <t>Data Error</t>
  </si>
  <si>
    <t>yes</t>
  </si>
  <si>
    <t>HTM Samurai</t>
  </si>
  <si>
    <t>BDN pending</t>
  </si>
  <si>
    <t>HTM Warrior</t>
  </si>
  <si>
    <t xml:space="preserve">HTM Knight </t>
  </si>
  <si>
    <t>Consumption Error</t>
  </si>
  <si>
    <t>HTM Highlander</t>
  </si>
  <si>
    <t>Duration Error</t>
  </si>
  <si>
    <t>Marlin Hera</t>
  </si>
  <si>
    <t>May</t>
  </si>
  <si>
    <t>Marlin Hestia</t>
  </si>
  <si>
    <t>Marlin La Plata</t>
  </si>
  <si>
    <t>Marlin Loreto</t>
  </si>
  <si>
    <t>Mount Kibo</t>
  </si>
  <si>
    <t>The Amigo</t>
  </si>
  <si>
    <t>The Prospector</t>
  </si>
  <si>
    <t>Sunny Palms</t>
  </si>
  <si>
    <t>Sunny Beach</t>
  </si>
  <si>
    <t>Event Sequence Error</t>
  </si>
  <si>
    <t>Msea Capital</t>
  </si>
  <si>
    <t>Sunny Lakes</t>
  </si>
  <si>
    <t>Mari Boyle</t>
  </si>
  <si>
    <t>Missing Document</t>
  </si>
  <si>
    <t>Mari Jone</t>
  </si>
  <si>
    <t>Mari Kokako</t>
  </si>
  <si>
    <t>Missing Field Error</t>
  </si>
  <si>
    <t>ONN</t>
  </si>
  <si>
    <t>Elegant Voyager</t>
  </si>
  <si>
    <t>Riverside</t>
  </si>
  <si>
    <t>Pertamina International Shipping Ltd</t>
  </si>
  <si>
    <t>PIS Kerinci</t>
  </si>
  <si>
    <t>Cargo Consistency Error</t>
  </si>
  <si>
    <t>Sea Spike</t>
  </si>
  <si>
    <t>SOFRANO MARITIME SA-MAI</t>
  </si>
  <si>
    <t>Sea Quest</t>
  </si>
  <si>
    <t>Sunny Apatite</t>
  </si>
  <si>
    <t>Sunny Liger</t>
  </si>
  <si>
    <t>Seaworld</t>
  </si>
  <si>
    <t>BENTLEY I(COP)</t>
  </si>
  <si>
    <t>MDL TOOFAN</t>
  </si>
  <si>
    <t>PS FRAMURA</t>
  </si>
  <si>
    <t>SW SOUTH WIND I</t>
  </si>
  <si>
    <t>SW North WIND I</t>
  </si>
  <si>
    <t>SW MISTRAL I</t>
  </si>
  <si>
    <t>Rosalina</t>
  </si>
  <si>
    <t>Ulysses I</t>
  </si>
  <si>
    <t>SW Kyoto I</t>
  </si>
  <si>
    <t>LEONARDO DA VINCI</t>
  </si>
  <si>
    <t>GIULIO VERNE</t>
  </si>
  <si>
    <t>Prysmian Cable Enterprise</t>
  </si>
  <si>
    <t>Prysmian Ulisse</t>
  </si>
  <si>
    <t>Prysmian Monna Lisa</t>
  </si>
  <si>
    <t>Prysmian Marco Polo</t>
  </si>
  <si>
    <t>Cetinkaya</t>
  </si>
  <si>
    <t>Navi Moon</t>
  </si>
  <si>
    <t>Navi Sky</t>
  </si>
  <si>
    <t>Navi Star</t>
  </si>
  <si>
    <t>Navi Sun</t>
  </si>
  <si>
    <t>kaptanoglu</t>
  </si>
  <si>
    <t>Afra Rossi</t>
  </si>
  <si>
    <t>Pending</t>
  </si>
  <si>
    <t>Mar</t>
  </si>
  <si>
    <t>Gunes K</t>
  </si>
  <si>
    <t>Apr</t>
  </si>
  <si>
    <t>Port Capri</t>
  </si>
  <si>
    <t>Port Amalfi</t>
  </si>
  <si>
    <t>Ares Tankers</t>
  </si>
  <si>
    <t>Imera</t>
  </si>
  <si>
    <t>Mayur</t>
  </si>
  <si>
    <t>No Issues</t>
  </si>
  <si>
    <t>BHSM</t>
  </si>
  <si>
    <t>Cassia</t>
  </si>
  <si>
    <t>Anubhav</t>
  </si>
  <si>
    <t>Novah</t>
  </si>
  <si>
    <t>Marlin Pearl</t>
  </si>
  <si>
    <t>Mantagas</t>
  </si>
  <si>
    <t>Manta Dicle</t>
  </si>
  <si>
    <t>Shreya</t>
  </si>
  <si>
    <t>Distance Deviation Error</t>
  </si>
  <si>
    <t>Manta Anadolu</t>
  </si>
  <si>
    <t>Manta Beyoglu</t>
  </si>
  <si>
    <t>Manta Berberbly</t>
  </si>
  <si>
    <t>Manta Anka</t>
  </si>
  <si>
    <t>Manta Malazgirt</t>
  </si>
  <si>
    <t>Manager</t>
  </si>
  <si>
    <t>Count of Vessel</t>
  </si>
  <si>
    <t>Sum of Total Errors
(10-Apr-2026)</t>
  </si>
  <si>
    <t>Sum of Total Errors
(17-Apr-2026)</t>
  </si>
  <si>
    <t>Sum of Total Errors
(24-Apr-2026)</t>
  </si>
  <si>
    <t>Sum of Errors last Week
(01-May-2026)</t>
  </si>
  <si>
    <t>Sum of Total Errors
(08-May-2026)</t>
  </si>
  <si>
    <t>Sum of Total Errors
(15-May-2026)</t>
  </si>
  <si>
    <t>OSS</t>
  </si>
  <si>
    <t>SMM</t>
  </si>
  <si>
    <t>SWM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</si>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</sst>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dd\-mmm\-yyyy"/>
  </numFmts>
  <fonts count="1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  <font>
      <sz val="10"/>
      <name val="Arial"/>
    </font>
    <font>
      <sz val="11"/>
      <name val="Calibri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Arial"/>
      <charset val="1"/>
    </font>
    <font>
      <sz val="10"/>
      <color rgb="FF00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12F3D"/>
      </patternFill>
    </fill>
    <fill>
      <patternFill patternType="solid">
        <fgColor rgb="FF145A32"/>
        <bgColor rgb="FF186A3B"/>
      </patternFill>
    </fill>
    <fill>
      <patternFill patternType="solid">
        <fgColor rgb="FF7D3C0A"/>
        <bgColor rgb="FF993366"/>
      </patternFill>
    </fill>
    <fill>
      <patternFill patternType="solid">
        <fgColor rgb="FF186A3B"/>
        <bgColor rgb="FF145A32"/>
      </patternFill>
    </fill>
    <fill>
      <patternFill patternType="solid">
        <fgColor rgb="FF212F3D"/>
        <bgColor rgb="FF1F3864"/>
      </patternFill>
    </fill>
    <fill>
      <patternFill patternType="solid">
        <fgColor rgb="FFD6E4F7"/>
        <bgColor rgb="FFDAEAF7"/>
      </patternFill>
    </fill>
    <fill>
      <patternFill patternType="solid">
        <fgColor rgb="FFD5F5E3"/>
        <bgColor rgb="FFDAEAF7"/>
      </patternFill>
    </fill>
    <fill>
      <patternFill patternType="solid">
        <fgColor rgb="FFFAE5D3"/>
        <bgColor rgb="FFEDE0F7"/>
      </patternFill>
    </fill>
    <fill>
      <patternFill patternType="solid">
        <fgColor rgb="FFD0F0C0"/>
        <bgColor rgb="FFD5F5E3"/>
      </patternFill>
    </fill>
    <fill>
      <patternFill patternType="solid">
        <fgColor rgb="FFD5D8DC"/>
        <bgColor rgb="FFCCCCCC"/>
      </patternFill>
    </fill>
    <fill>
      <patternFill patternType="solid">
        <fgColor theme="3" tint="0.79998168889431442"/>
        <bgColor rgb="FFDAEAF7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E5D3"/>
        <bgColor indexed="64"/>
      </patternFill>
    </fill>
    <fill>
      <patternFill patternType="solid">
        <fgColor rgb="FFD0F0C0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D9E1F2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165" fontId="3" fillId="11" borderId="1" xfId="0" applyNumberFormat="1" applyFont="1" applyFill="1" applyBorder="1" applyAlignment="1">
      <alignment vertical="center"/>
    </xf>
    <xf numFmtId="14" fontId="3" fillId="8" borderId="1" xfId="1" applyNumberFormat="1" applyFont="1" applyFill="1" applyBorder="1" applyAlignment="1">
      <alignment vertical="center"/>
    </xf>
    <xf numFmtId="14" fontId="0" fillId="0" borderId="0" xfId="1" applyNumberFormat="1" applyFont="1"/>
    <xf numFmtId="0" fontId="3" fillId="12" borderId="1" xfId="0" applyFont="1" applyFill="1" applyBorder="1" applyAlignment="1">
      <alignment vertical="center"/>
    </xf>
    <xf numFmtId="0" fontId="0" fillId="13" borderId="0" xfId="0" applyFill="1"/>
    <xf numFmtId="0" fontId="0" fillId="14" borderId="0" xfId="0" applyFill="1"/>
    <xf numFmtId="14" fontId="0" fillId="14" borderId="0" xfId="1" applyNumberFormat="1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165" fontId="0" fillId="17" borderId="0" xfId="0" applyNumberFormat="1" applyFill="1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1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4" fontId="5" fillId="8" borderId="1" xfId="1" applyNumberFormat="1" applyFont="1" applyFill="1" applyBorder="1" applyAlignment="1">
      <alignment vertical="center"/>
    </xf>
    <xf numFmtId="14" fontId="0" fillId="15" borderId="0" xfId="0" applyNumberFormat="1" applyFill="1"/>
    <xf numFmtId="15" fontId="3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14" fontId="3" fillId="9" borderId="1" xfId="0" applyNumberFormat="1" applyFont="1" applyFill="1" applyBorder="1" applyAlignment="1">
      <alignment vertical="center"/>
    </xf>
    <xf numFmtId="0" fontId="7" fillId="18" borderId="3" xfId="0" applyFont="1" applyFill="1" applyBorder="1"/>
    <xf numFmtId="0" fontId="7" fillId="18" borderId="4" xfId="0" applyFont="1" applyFill="1" applyBorder="1"/>
    <xf numFmtId="0" fontId="7" fillId="18" borderId="4" xfId="0" applyFont="1" applyFill="1" applyBorder="1" applyAlignment="1">
      <alignment wrapText="1"/>
    </xf>
    <xf numFmtId="0" fontId="8" fillId="0" borderId="5" xfId="0" applyFont="1" applyBorder="1"/>
    <xf numFmtId="0" fontId="8" fillId="0" borderId="6" xfId="0" applyFont="1" applyBorder="1"/>
    <xf numFmtId="0" fontId="7" fillId="18" borderId="5" xfId="0" applyFont="1" applyFill="1" applyBorder="1"/>
    <xf numFmtId="0" fontId="7" fillId="18" borderId="6" xfId="0" applyFont="1" applyFill="1" applyBorder="1"/>
    <xf numFmtId="0" fontId="9" fillId="9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</cellXfs>
  <cellStyles count="3">
    <cellStyle name="Currency" xfId="1" builtinId="4"/>
    <cellStyle name="Normal" xfId="0" builtinId="0"/>
    <cellStyle name="Normal 2" xfId="2" xr:uid="{3941C8A2-CF8B-4F1A-ADBC-60D9C34B44F2}"/>
  </cellStyles>
  <dxfs count="19">
    <dxf>
      <fill>
        <patternFill patternType="solid">
          <fgColor indexed="64"/>
          <bgColor rgb="FFD5D8DC"/>
        </patternFill>
      </fill>
    </dxf>
    <dxf>
      <fill>
        <patternFill patternType="solid">
          <fgColor indexed="64"/>
          <bgColor rgb="FFD5D8DC"/>
        </patternFill>
      </fill>
    </dxf>
    <dxf>
      <fill>
        <patternFill patternType="solid">
          <fgColor indexed="64"/>
          <bgColor rgb="FFD0F0C0"/>
        </patternFill>
      </fill>
    </dxf>
    <dxf>
      <fill>
        <patternFill patternType="solid">
          <fgColor indexed="64"/>
          <bgColor rgb="FFD0F0C0"/>
        </patternFill>
      </fill>
    </dxf>
    <dxf>
      <fill>
        <patternFill patternType="solid">
          <fgColor indexed="64"/>
          <bgColor rgb="FFFAE5D3"/>
        </patternFill>
      </fill>
    </dxf>
    <dxf>
      <fill>
        <patternFill patternType="solid">
          <fgColor indexed="64"/>
          <bgColor rgb="FFFAE5D3"/>
        </patternFill>
      </fill>
    </dxf>
    <dxf>
      <fill>
        <patternFill patternType="solid">
          <fgColor indexed="64"/>
          <bgColor rgb="FFFAE5D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6" formatCode="dd/mm/yyyy"/>
      <fill>
        <patternFill patternType="solid">
          <fgColor indexed="64"/>
          <bgColor rgb="FFD5F5E3"/>
        </patternFill>
      </fill>
    </dxf>
    <dxf>
      <fill>
        <patternFill patternType="solid">
          <fgColor indexed="64"/>
          <bgColor rgb="FFD5F5E3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border outline="0">
        <bottom style="thin">
          <color rgb="FFCCCCCC"/>
        </bottom>
      </border>
    </dxf>
    <dxf>
      <border outline="0">
        <top style="thin">
          <color rgb="FFCCCCCC"/>
        </top>
      </border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A3B"/>
      <rgbColor rgb="FF000080"/>
      <rgbColor rgb="FF808000"/>
      <rgbColor rgb="FF800080"/>
      <rgbColor rgb="FF008080"/>
      <rgbColor rgb="FFCCCCCC"/>
      <rgbColor rgb="FF808080"/>
      <rgbColor rgb="FF9999FF"/>
      <rgbColor rgb="FF6E2F8C"/>
      <rgbColor rgb="FFFAE5D3"/>
      <rgbColor rgb="FFDAEAF7"/>
      <rgbColor rgb="FF660066"/>
      <rgbColor rgb="FFFF8080"/>
      <rgbColor rgb="FF1D5C8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A"/>
      <rgbColor rgb="FFD5F5E3"/>
      <rgbColor rgb="FFD0F0C0"/>
      <rgbColor rgb="FFD6E4F7"/>
      <rgbColor rgb="FFFF99CC"/>
      <rgbColor rgb="FFCC99FF"/>
      <rgbColor rgb="FFEDE0F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145A32"/>
      <rgbColor rgb="FF333300"/>
      <rgbColor rgb="FF7D3C0A"/>
      <rgbColor rgb="FF993366"/>
      <rgbColor rgb="FF333399"/>
      <rgbColor rgb="FF212F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5D8DC"/>
      <color rgb="FFD0F0C0"/>
      <color rgb="FFFAE5D3"/>
      <color rgb="FFD5F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rgbClr val="000000">
                    <a:lumMod val="65000"/>
                    <a:lumOff val="35000"/>
                  </a:srgbClr>
                </a:solidFill>
                <a:effectLst/>
                <a:uLnTx/>
                <a:uFillTx/>
                <a:latin typeface="Calibri"/>
              </a:rPr>
              <a:t>Weekly Error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Count of Errors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MoM_Error!$C$1:$H$1</c:f>
              <c:strCache>
                <c:ptCount val="6"/>
                <c:pt idx="0">
                  <c:v>Sum of Total Errors
(10-Apr-2026)</c:v>
                </c:pt>
                <c:pt idx="1">
                  <c:v>Sum of Total Errors
(17-Apr-2026)</c:v>
                </c:pt>
                <c:pt idx="2">
                  <c:v>Sum of Total Errors
(24-Apr-2026)</c:v>
                </c:pt>
                <c:pt idx="3">
                  <c:v>Sum of Errors last Week
(01-May-2026)</c:v>
                </c:pt>
                <c:pt idx="4">
                  <c:v>Sum of Total Errors
(08-May-2026)</c:v>
                </c:pt>
                <c:pt idx="5">
                  <c:v>Sum of Total Errors
(15-May-2026)</c:v>
                </c:pt>
              </c:strCache>
            </c:strRef>
          </c:cat>
          <c:val>
            <c:numRef>
              <c:f>MoM_Error!$C$13:$H$13</c:f>
              <c:numCache>
                <c:formatCode>General</c:formatCode>
                <c:ptCount val="6"/>
                <c:pt idx="0">
                  <c:v>364</c:v>
                </c:pt>
                <c:pt idx="1">
                  <c:v>312</c:v>
                </c:pt>
                <c:pt idx="2">
                  <c:v>252</c:v>
                </c:pt>
                <c:pt idx="3">
                  <c:v>329</c:v>
                </c:pt>
                <c:pt idx="4">
                  <c:v>258</c:v>
                </c:pt>
                <c:pt idx="5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B-4C00-B532-B2EA00AB8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031624"/>
        <c:axId val="607593992"/>
      </c:lineChart>
      <c:catAx>
        <c:axId val="25803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593992"/>
        <c:crosses val="autoZero"/>
        <c:auto val="1"/>
        <c:lblAlgn val="ctr"/>
        <c:lblOffset val="100"/>
        <c:noMultiLvlLbl val="0"/>
      </c:catAx>
      <c:valAx>
        <c:axId val="60759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3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171450</xdr:rowOff>
    </xdr:from>
    <xdr:to>
      <xdr:col>22</xdr:col>
      <xdr:colOff>276225</xdr:colOff>
      <xdr:row>16</xdr:row>
      <xdr:rowOff>9525</xdr:rowOff>
    </xdr:to>
    <xdr:graphicFrame macro="">
      <xdr:nvGraphicFramePr>
        <xdr:cNvPr id="46" name="Chart 9">
          <a:extLst>
            <a:ext uri="{FF2B5EF4-FFF2-40B4-BE49-F238E27FC236}">
              <a16:creationId xmlns:a16="http://schemas.microsoft.com/office/drawing/2014/main" id="{BCC23B94-A130-2E32-516D-ED2AA0643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A3CFDD-05DF-4B87-8BEC-9BA45698886D}" name="Table2" displayName="Table2" ref="A1:L94" totalsRowShown="0" headerRowBorderDxfId="12" tableBorderDxfId="13">
  <autoFilter ref="A1:L94" xr:uid="{3BA3CFDD-05DF-4B87-8BEC-9BA45698886D}"/>
  <tableColumns count="12">
    <tableColumn id="1" xr3:uid="{FFEE8AC3-848C-41FB-A6BF-90C84F99E8A0}" name="Principal" dataDxfId="11"/>
    <tableColumn id="2" xr3:uid="{741A5A54-F6B2-481A-B475-3F4710F06D77}" name="Vessel" dataDxfId="10"/>
    <tableColumn id="3" xr3:uid="{41DBEA84-758D-4991-AF55-5E7E812C0A6A}" name="PIC" dataDxfId="9"/>
    <tableColumn id="4" xr3:uid="{92298EAA-6781-4345-8A39-82C6433C6F5C}" name="Status" dataDxfId="8"/>
    <tableColumn id="5" xr3:uid="{A58CB7D2-44DF-4072-8C01-B7D92CC63A7B}" name="Last Approved" dataDxfId="7" dataCellStyle="Currency"/>
    <tableColumn id="6" xr3:uid="{B08F262F-12FE-4315-97B6-F9472E253C8E}" name="Issue Type" dataDxfId="6"/>
    <tableColumn id="12" xr3:uid="{8BB7FBE5-90D5-4EF5-9896-2ABB9354C754}" name="Issue Arised Date" dataDxfId="5"/>
    <tableColumn id="13" xr3:uid="{08C0B988-77C0-41A5-BFDF-335B60381EEF}" name="Issue Resolved Date" dataDxfId="4"/>
    <tableColumn id="7" xr3:uid="{137B7975-0554-401C-BC09-3910604EAF70}" name="Biofuel History" dataDxfId="3"/>
    <tableColumn id="8" xr3:uid="{DAA7738A-6127-469F-BA83-CE427944AADF}" name="Biofuel Onboard" dataDxfId="2"/>
    <tableColumn id="9" xr3:uid="{5CB1DFC8-318B-4F50-A615-B1B8D239EF58}" name="DNV Data Updated for Biofuel" dataDxfId="1"/>
    <tableColumn id="10" xr3:uid="{726CEC2A-BB17-4143-AD28-0AB5743A34AF}" name="Verif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93"/>
  <sheetViews>
    <sheetView tabSelected="1" zoomScaleNormal="100" workbookViewId="0">
      <pane ySplit="1" topLeftCell="A6" activePane="bottomLeft" state="frozen"/>
      <selection pane="bottomLeft" activeCell="E99" sqref="E99"/>
    </sheetView>
  </sheetViews>
  <sheetFormatPr defaultColWidth="8.7109375" defaultRowHeight="15"/>
  <cols>
    <col min="1" max="1" width="18" customWidth="1"/>
    <col min="2" max="2" width="22" customWidth="1"/>
    <col min="3" max="4" width="18" customWidth="1"/>
    <col min="5" max="5" width="26" style="8" customWidth="1"/>
    <col min="6" max="8" width="22" customWidth="1"/>
    <col min="9" max="9" width="18" customWidth="1"/>
    <col min="10" max="10" width="17.140625" customWidth="1"/>
    <col min="11" max="11" width="28.7109375" customWidth="1"/>
    <col min="12" max="12" width="18" customWidth="1"/>
  </cols>
  <sheetData>
    <row r="1" spans="1:12" ht="36" customHeight="1">
      <c r="A1" s="17" t="s">
        <v>0</v>
      </c>
      <c r="B1" s="17" t="s">
        <v>1</v>
      </c>
      <c r="C1" s="17" t="s">
        <v>2</v>
      </c>
      <c r="D1" s="18" t="s">
        <v>3</v>
      </c>
      <c r="E1" s="19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1" t="s">
        <v>9</v>
      </c>
      <c r="K1" s="22" t="s">
        <v>10</v>
      </c>
      <c r="L1" s="22" t="s">
        <v>11</v>
      </c>
    </row>
    <row r="2" spans="1:12" ht="18" customHeight="1">
      <c r="A2" s="1" t="s">
        <v>12</v>
      </c>
      <c r="B2" s="1" t="s">
        <v>13</v>
      </c>
      <c r="C2" s="9" t="s">
        <v>14</v>
      </c>
      <c r="D2" s="2" t="s">
        <v>15</v>
      </c>
      <c r="E2" s="7">
        <v>46166</v>
      </c>
      <c r="F2" s="3" t="s">
        <v>16</v>
      </c>
      <c r="G2" s="3"/>
      <c r="H2" s="3"/>
      <c r="I2" s="4" t="s">
        <v>17</v>
      </c>
      <c r="J2" s="4" t="s">
        <v>17</v>
      </c>
      <c r="K2" s="5"/>
      <c r="L2" s="6" t="s">
        <v>18</v>
      </c>
    </row>
    <row r="3" spans="1:12" ht="18" customHeight="1">
      <c r="A3" s="1" t="s">
        <v>19</v>
      </c>
      <c r="B3" s="1" t="s">
        <v>20</v>
      </c>
      <c r="C3" s="9" t="s">
        <v>14</v>
      </c>
      <c r="D3" s="2" t="s">
        <v>15</v>
      </c>
      <c r="E3" s="23">
        <v>46163</v>
      </c>
      <c r="F3" s="3" t="s">
        <v>21</v>
      </c>
      <c r="G3" s="3"/>
      <c r="H3" s="3"/>
      <c r="I3" s="4" t="s">
        <v>17</v>
      </c>
      <c r="J3" s="4" t="s">
        <v>17</v>
      </c>
      <c r="K3" s="5"/>
      <c r="L3" s="6" t="s">
        <v>18</v>
      </c>
    </row>
    <row r="4" spans="1:12" ht="18" customHeight="1">
      <c r="A4" s="1" t="s">
        <v>19</v>
      </c>
      <c r="B4" s="1" t="s">
        <v>22</v>
      </c>
      <c r="C4" s="9" t="s">
        <v>14</v>
      </c>
      <c r="D4" s="2" t="s">
        <v>15</v>
      </c>
      <c r="E4" s="23">
        <v>46167</v>
      </c>
      <c r="F4" s="3" t="s">
        <v>16</v>
      </c>
      <c r="G4" s="3"/>
      <c r="H4" s="3"/>
      <c r="I4" s="4" t="s">
        <v>17</v>
      </c>
      <c r="J4" s="4" t="s">
        <v>17</v>
      </c>
      <c r="K4" s="5"/>
      <c r="L4" s="6"/>
    </row>
    <row r="5" spans="1:12" ht="18" customHeight="1">
      <c r="A5" s="1" t="s">
        <v>12</v>
      </c>
      <c r="B5" s="1" t="s">
        <v>23</v>
      </c>
      <c r="C5" s="9" t="s">
        <v>24</v>
      </c>
      <c r="D5" s="2" t="s">
        <v>15</v>
      </c>
      <c r="E5" s="7">
        <v>46168</v>
      </c>
      <c r="F5" s="3" t="s">
        <v>21</v>
      </c>
      <c r="G5" s="3"/>
      <c r="H5" s="3"/>
      <c r="I5" s="4" t="s">
        <v>17</v>
      </c>
      <c r="J5" s="4" t="s">
        <v>17</v>
      </c>
      <c r="K5" s="5" t="s">
        <v>25</v>
      </c>
      <c r="L5" s="6"/>
    </row>
    <row r="6" spans="1:12" ht="18" customHeight="1">
      <c r="A6" s="1" t="s">
        <v>12</v>
      </c>
      <c r="B6" s="1" t="s">
        <v>26</v>
      </c>
      <c r="C6" s="9" t="s">
        <v>27</v>
      </c>
      <c r="D6" s="2" t="s">
        <v>28</v>
      </c>
      <c r="E6" s="7">
        <v>46053</v>
      </c>
      <c r="F6" s="26" t="s">
        <v>16</v>
      </c>
      <c r="G6" s="25" t="s">
        <v>29</v>
      </c>
      <c r="H6" s="3"/>
      <c r="I6" s="4" t="s">
        <v>30</v>
      </c>
      <c r="J6" s="4" t="s">
        <v>17</v>
      </c>
      <c r="K6" s="5" t="s">
        <v>25</v>
      </c>
      <c r="L6" s="6"/>
    </row>
    <row r="7" spans="1:12" ht="18" customHeight="1">
      <c r="A7" s="1" t="s">
        <v>12</v>
      </c>
      <c r="B7" s="1" t="s">
        <v>31</v>
      </c>
      <c r="C7" s="9" t="s">
        <v>14</v>
      </c>
      <c r="D7" s="2" t="s">
        <v>15</v>
      </c>
      <c r="E7" s="23">
        <v>46167</v>
      </c>
      <c r="F7" s="36" t="s">
        <v>32</v>
      </c>
      <c r="G7" s="3"/>
      <c r="H7" s="3"/>
      <c r="I7" s="4" t="s">
        <v>30</v>
      </c>
      <c r="J7" s="4" t="s">
        <v>17</v>
      </c>
      <c r="K7" s="5" t="s">
        <v>33</v>
      </c>
      <c r="L7" s="6" t="s">
        <v>18</v>
      </c>
    </row>
    <row r="8" spans="1:12" ht="18" customHeight="1">
      <c r="A8" s="1" t="s">
        <v>12</v>
      </c>
      <c r="B8" s="1" t="s">
        <v>34</v>
      </c>
      <c r="C8" s="9" t="s">
        <v>14</v>
      </c>
      <c r="D8" s="2" t="s">
        <v>15</v>
      </c>
      <c r="E8" s="23">
        <v>46167</v>
      </c>
      <c r="F8" s="36" t="s">
        <v>35</v>
      </c>
      <c r="G8" s="3"/>
      <c r="H8" s="3"/>
      <c r="I8" s="4"/>
      <c r="J8" s="4"/>
      <c r="K8" s="5"/>
      <c r="L8" s="6" t="s">
        <v>18</v>
      </c>
    </row>
    <row r="9" spans="1:12" ht="18" customHeight="1">
      <c r="A9" s="1" t="s">
        <v>12</v>
      </c>
      <c r="B9" s="1" t="s">
        <v>36</v>
      </c>
      <c r="C9" s="9" t="s">
        <v>14</v>
      </c>
      <c r="D9" s="2" t="s">
        <v>15</v>
      </c>
      <c r="E9" s="23">
        <v>46167</v>
      </c>
      <c r="F9" s="3" t="s">
        <v>16</v>
      </c>
      <c r="G9" s="3"/>
      <c r="H9" s="3"/>
      <c r="I9" s="4" t="s">
        <v>30</v>
      </c>
      <c r="J9" s="4" t="s">
        <v>17</v>
      </c>
      <c r="K9" s="5" t="s">
        <v>25</v>
      </c>
      <c r="L9" s="6" t="s">
        <v>18</v>
      </c>
    </row>
    <row r="10" spans="1:12" ht="18" customHeight="1">
      <c r="A10" s="1" t="s">
        <v>12</v>
      </c>
      <c r="B10" s="1" t="s">
        <v>37</v>
      </c>
      <c r="C10" s="9" t="s">
        <v>14</v>
      </c>
      <c r="D10" s="2" t="s">
        <v>28</v>
      </c>
      <c r="E10" s="7"/>
      <c r="F10" s="3" t="s">
        <v>38</v>
      </c>
      <c r="G10" s="3"/>
      <c r="H10" s="3"/>
      <c r="I10" s="4"/>
      <c r="J10" s="4"/>
      <c r="K10" s="5"/>
      <c r="L10" s="6" t="s">
        <v>18</v>
      </c>
    </row>
    <row r="11" spans="1:12" ht="18" customHeight="1">
      <c r="A11" s="1" t="s">
        <v>12</v>
      </c>
      <c r="B11" s="1" t="s">
        <v>39</v>
      </c>
      <c r="C11" s="9" t="s">
        <v>14</v>
      </c>
      <c r="D11" s="2" t="s">
        <v>28</v>
      </c>
      <c r="E11" s="7"/>
      <c r="F11" s="3" t="s">
        <v>40</v>
      </c>
      <c r="G11" s="3"/>
      <c r="H11" s="3"/>
      <c r="I11" s="4"/>
      <c r="J11" s="4"/>
      <c r="K11" s="5"/>
      <c r="L11" s="6" t="s">
        <v>18</v>
      </c>
    </row>
    <row r="12" spans="1:12" ht="18" customHeight="1">
      <c r="A12" s="1" t="s">
        <v>12</v>
      </c>
      <c r="B12" s="1" t="s">
        <v>41</v>
      </c>
      <c r="C12" s="9" t="s">
        <v>14</v>
      </c>
      <c r="D12" s="2" t="s">
        <v>15</v>
      </c>
      <c r="E12" s="23">
        <v>46167</v>
      </c>
      <c r="F12" s="3" t="s">
        <v>35</v>
      </c>
      <c r="G12" s="23" t="s">
        <v>42</v>
      </c>
      <c r="H12" s="3"/>
      <c r="I12" s="4" t="s">
        <v>30</v>
      </c>
      <c r="J12" s="4" t="s">
        <v>17</v>
      </c>
      <c r="K12" s="5" t="s">
        <v>25</v>
      </c>
      <c r="L12" s="6" t="s">
        <v>18</v>
      </c>
    </row>
    <row r="13" spans="1:12" ht="18" customHeight="1">
      <c r="A13" s="1" t="s">
        <v>12</v>
      </c>
      <c r="B13" s="1" t="s">
        <v>43</v>
      </c>
      <c r="C13" s="9" t="s">
        <v>14</v>
      </c>
      <c r="D13" s="2" t="s">
        <v>15</v>
      </c>
      <c r="E13" s="23">
        <v>46167</v>
      </c>
      <c r="F13" s="3" t="s">
        <v>16</v>
      </c>
      <c r="G13" s="3"/>
      <c r="H13" s="3"/>
      <c r="I13" s="4" t="s">
        <v>17</v>
      </c>
      <c r="J13" s="4" t="s">
        <v>17</v>
      </c>
      <c r="K13" s="5" t="s">
        <v>33</v>
      </c>
      <c r="L13" s="6"/>
    </row>
    <row r="14" spans="1:12" ht="18" customHeight="1">
      <c r="A14" s="1" t="s">
        <v>12</v>
      </c>
      <c r="B14" s="1" t="s">
        <v>44</v>
      </c>
      <c r="C14" s="9" t="s">
        <v>14</v>
      </c>
      <c r="D14" s="2" t="s">
        <v>15</v>
      </c>
      <c r="E14" s="23">
        <v>46167</v>
      </c>
      <c r="F14" s="37" t="s">
        <v>35</v>
      </c>
      <c r="G14" s="23" t="s">
        <v>42</v>
      </c>
      <c r="H14" s="3"/>
      <c r="I14" s="4" t="s">
        <v>17</v>
      </c>
      <c r="J14" s="4"/>
      <c r="K14" s="5"/>
      <c r="L14" s="6" t="s">
        <v>18</v>
      </c>
    </row>
    <row r="15" spans="1:12" ht="18" customHeight="1">
      <c r="A15" s="1" t="s">
        <v>12</v>
      </c>
      <c r="B15" s="1" t="s">
        <v>45</v>
      </c>
      <c r="C15" s="9" t="s">
        <v>14</v>
      </c>
      <c r="D15" s="2" t="s">
        <v>15</v>
      </c>
      <c r="E15" s="23">
        <v>46167</v>
      </c>
      <c r="F15" s="3" t="s">
        <v>40</v>
      </c>
      <c r="G15" s="3"/>
      <c r="H15" s="3"/>
      <c r="I15" s="4" t="s">
        <v>30</v>
      </c>
      <c r="J15" s="4" t="s">
        <v>17</v>
      </c>
      <c r="K15" s="5" t="s">
        <v>30</v>
      </c>
      <c r="L15" s="6" t="s">
        <v>18</v>
      </c>
    </row>
    <row r="16" spans="1:12" ht="18" customHeight="1">
      <c r="A16" s="1" t="s">
        <v>12</v>
      </c>
      <c r="B16" s="1" t="s">
        <v>46</v>
      </c>
      <c r="C16" s="9" t="s">
        <v>27</v>
      </c>
      <c r="D16" s="2" t="s">
        <v>15</v>
      </c>
      <c r="E16" s="7">
        <v>46156</v>
      </c>
      <c r="F16" s="26" t="s">
        <v>21</v>
      </c>
      <c r="G16" s="3"/>
      <c r="H16" s="3"/>
      <c r="I16" s="4" t="s">
        <v>17</v>
      </c>
      <c r="J16" s="4" t="s">
        <v>17</v>
      </c>
      <c r="K16" s="5" t="s">
        <v>30</v>
      </c>
      <c r="L16" s="6"/>
    </row>
    <row r="17" spans="1:12" ht="18" customHeight="1">
      <c r="A17" s="1" t="s">
        <v>12</v>
      </c>
      <c r="B17" s="1" t="s">
        <v>47</v>
      </c>
      <c r="C17" s="9" t="s">
        <v>27</v>
      </c>
      <c r="D17" s="2" t="s">
        <v>15</v>
      </c>
      <c r="E17" s="7">
        <v>46155</v>
      </c>
      <c r="F17" s="3" t="s">
        <v>40</v>
      </c>
      <c r="G17" s="3"/>
      <c r="H17" s="3"/>
      <c r="I17" s="4" t="s">
        <v>17</v>
      </c>
      <c r="J17" s="4" t="s">
        <v>17</v>
      </c>
      <c r="K17" s="5"/>
      <c r="L17" s="6"/>
    </row>
    <row r="18" spans="1:12" ht="18" customHeight="1">
      <c r="A18" s="1" t="s">
        <v>12</v>
      </c>
      <c r="B18" s="1" t="s">
        <v>48</v>
      </c>
      <c r="C18" s="9" t="s">
        <v>27</v>
      </c>
      <c r="D18" s="2" t="s">
        <v>15</v>
      </c>
      <c r="E18" s="7">
        <v>46155</v>
      </c>
      <c r="F18" s="3" t="s">
        <v>38</v>
      </c>
      <c r="G18" s="3"/>
      <c r="H18" s="3"/>
      <c r="I18" s="4" t="s">
        <v>17</v>
      </c>
      <c r="J18" s="4" t="s">
        <v>17</v>
      </c>
      <c r="K18" s="5"/>
      <c r="L18" s="6"/>
    </row>
    <row r="19" spans="1:12" ht="18" customHeight="1">
      <c r="A19" s="1" t="s">
        <v>12</v>
      </c>
      <c r="B19" s="1" t="s">
        <v>49</v>
      </c>
      <c r="C19" s="9" t="s">
        <v>27</v>
      </c>
      <c r="D19" s="2" t="s">
        <v>15</v>
      </c>
      <c r="E19" s="7">
        <v>46156</v>
      </c>
      <c r="F19" s="26" t="s">
        <v>21</v>
      </c>
      <c r="G19" s="3"/>
      <c r="H19" s="3"/>
      <c r="I19" s="4" t="s">
        <v>17</v>
      </c>
      <c r="J19" s="4" t="s">
        <v>17</v>
      </c>
      <c r="K19" s="5"/>
      <c r="L19" s="6"/>
    </row>
    <row r="20" spans="1:12" ht="18" customHeight="1">
      <c r="A20" s="1" t="s">
        <v>12</v>
      </c>
      <c r="B20" s="1" t="s">
        <v>50</v>
      </c>
      <c r="C20" s="9" t="s">
        <v>14</v>
      </c>
      <c r="D20" s="2" t="s">
        <v>15</v>
      </c>
      <c r="E20" s="23">
        <v>46167</v>
      </c>
      <c r="F20" s="36" t="s">
        <v>51</v>
      </c>
      <c r="G20" s="3"/>
      <c r="H20" s="3"/>
      <c r="I20" s="4" t="s">
        <v>17</v>
      </c>
      <c r="J20" s="4" t="s">
        <v>17</v>
      </c>
      <c r="K20" s="5"/>
      <c r="L20" s="6" t="s">
        <v>18</v>
      </c>
    </row>
    <row r="21" spans="1:12" ht="18" customHeight="1">
      <c r="A21" s="1" t="s">
        <v>52</v>
      </c>
      <c r="B21" s="1" t="s">
        <v>53</v>
      </c>
      <c r="C21" s="9" t="s">
        <v>24</v>
      </c>
      <c r="D21" s="2" t="s">
        <v>15</v>
      </c>
      <c r="E21" s="7">
        <v>46156</v>
      </c>
      <c r="F21" s="3" t="s">
        <v>35</v>
      </c>
      <c r="G21" s="3" t="s">
        <v>42</v>
      </c>
      <c r="H21" s="3"/>
      <c r="I21" s="4" t="s">
        <v>17</v>
      </c>
      <c r="J21" s="4" t="s">
        <v>17</v>
      </c>
      <c r="K21" s="5"/>
      <c r="L21" s="6"/>
    </row>
    <row r="22" spans="1:12" ht="18" customHeight="1">
      <c r="A22" s="1" t="s">
        <v>52</v>
      </c>
      <c r="B22" s="1" t="s">
        <v>54</v>
      </c>
      <c r="C22" s="9" t="s">
        <v>14</v>
      </c>
      <c r="D22" s="2" t="s">
        <v>15</v>
      </c>
      <c r="E22" s="7">
        <v>46167</v>
      </c>
      <c r="F22" s="3" t="s">
        <v>55</v>
      </c>
      <c r="G22" s="3"/>
      <c r="H22" s="3"/>
      <c r="I22" s="4" t="s">
        <v>30</v>
      </c>
      <c r="J22" s="4" t="s">
        <v>17</v>
      </c>
      <c r="K22" s="5" t="s">
        <v>33</v>
      </c>
      <c r="L22" s="6" t="s">
        <v>18</v>
      </c>
    </row>
    <row r="23" spans="1:12" ht="18" customHeight="1">
      <c r="A23" s="1" t="s">
        <v>52</v>
      </c>
      <c r="B23" s="1" t="s">
        <v>56</v>
      </c>
      <c r="C23" s="9" t="s">
        <v>14</v>
      </c>
      <c r="D23" s="2" t="s">
        <v>15</v>
      </c>
      <c r="E23" s="23">
        <v>46167</v>
      </c>
      <c r="F23" s="3" t="s">
        <v>51</v>
      </c>
      <c r="G23" s="3"/>
      <c r="H23" s="3"/>
      <c r="I23" s="4" t="s">
        <v>17</v>
      </c>
      <c r="J23" s="4"/>
      <c r="K23" s="5"/>
      <c r="L23" s="6" t="s">
        <v>18</v>
      </c>
    </row>
    <row r="24" spans="1:12" ht="18" customHeight="1">
      <c r="A24" s="1" t="s">
        <v>52</v>
      </c>
      <c r="B24" s="1" t="s">
        <v>57</v>
      </c>
      <c r="C24" s="9" t="s">
        <v>24</v>
      </c>
      <c r="D24" s="2" t="s">
        <v>15</v>
      </c>
      <c r="E24" s="7">
        <v>46157</v>
      </c>
      <c r="F24" s="3" t="s">
        <v>58</v>
      </c>
      <c r="G24" s="3"/>
      <c r="H24" s="3"/>
      <c r="I24" s="4" t="s">
        <v>17</v>
      </c>
      <c r="J24" s="4" t="s">
        <v>17</v>
      </c>
      <c r="K24" s="5"/>
      <c r="L24" s="6"/>
    </row>
    <row r="25" spans="1:12" ht="18" customHeight="1">
      <c r="A25" s="1" t="s">
        <v>59</v>
      </c>
      <c r="B25" s="1" t="s">
        <v>60</v>
      </c>
      <c r="C25" s="9" t="s">
        <v>27</v>
      </c>
      <c r="D25" s="2" t="s">
        <v>15</v>
      </c>
      <c r="E25" s="7">
        <v>46157</v>
      </c>
      <c r="F25" s="27" t="s">
        <v>58</v>
      </c>
      <c r="G25" s="3"/>
      <c r="H25" s="3"/>
      <c r="I25" s="4" t="s">
        <v>17</v>
      </c>
      <c r="J25" s="4" t="s">
        <v>17</v>
      </c>
      <c r="K25" s="5"/>
      <c r="L25" s="6"/>
    </row>
    <row r="26" spans="1:12" ht="18" customHeight="1">
      <c r="A26" s="1" t="s">
        <v>59</v>
      </c>
      <c r="B26" s="1" t="s">
        <v>61</v>
      </c>
      <c r="C26" s="9" t="s">
        <v>27</v>
      </c>
      <c r="D26" s="2" t="s">
        <v>15</v>
      </c>
      <c r="E26" s="7">
        <v>46155</v>
      </c>
      <c r="F26" s="26" t="s">
        <v>51</v>
      </c>
      <c r="G26" s="3"/>
      <c r="H26" s="3"/>
      <c r="I26" s="4" t="s">
        <v>17</v>
      </c>
      <c r="J26" s="4" t="s">
        <v>17</v>
      </c>
      <c r="K26" s="5"/>
      <c r="L26" s="6"/>
    </row>
    <row r="27" spans="1:12" ht="18" customHeight="1">
      <c r="A27" s="1" t="s">
        <v>62</v>
      </c>
      <c r="B27" s="1" t="s">
        <v>63</v>
      </c>
      <c r="C27" s="9" t="s">
        <v>24</v>
      </c>
      <c r="D27" s="2" t="s">
        <v>15</v>
      </c>
      <c r="E27" s="7">
        <v>46153</v>
      </c>
      <c r="F27" s="3" t="s">
        <v>64</v>
      </c>
      <c r="G27" s="3"/>
      <c r="H27" s="3"/>
      <c r="I27" s="4" t="s">
        <v>17</v>
      </c>
      <c r="J27" s="4" t="s">
        <v>17</v>
      </c>
      <c r="K27" s="5"/>
      <c r="L27" s="6"/>
    </row>
    <row r="28" spans="1:12" ht="18" customHeight="1">
      <c r="A28" s="1" t="s">
        <v>12</v>
      </c>
      <c r="B28" s="1" t="s">
        <v>65</v>
      </c>
      <c r="C28" s="9" t="s">
        <v>14</v>
      </c>
      <c r="D28" s="2" t="s">
        <v>15</v>
      </c>
      <c r="E28" s="23">
        <v>46167</v>
      </c>
      <c r="F28" s="3" t="s">
        <v>64</v>
      </c>
      <c r="G28" s="3"/>
      <c r="H28" s="3"/>
      <c r="I28" s="4" t="s">
        <v>30</v>
      </c>
      <c r="J28" s="4" t="s">
        <v>17</v>
      </c>
      <c r="K28" s="5" t="s">
        <v>25</v>
      </c>
      <c r="L28" s="6" t="s">
        <v>18</v>
      </c>
    </row>
    <row r="29" spans="1:12" ht="18" customHeight="1">
      <c r="A29" s="1" t="s">
        <v>66</v>
      </c>
      <c r="B29" s="1" t="s">
        <v>67</v>
      </c>
      <c r="C29" s="9" t="s">
        <v>14</v>
      </c>
      <c r="D29" s="2" t="s">
        <v>15</v>
      </c>
      <c r="E29" s="7">
        <v>46168</v>
      </c>
      <c r="F29" s="3" t="s">
        <v>16</v>
      </c>
      <c r="G29" s="3" t="s">
        <v>42</v>
      </c>
      <c r="H29" s="3"/>
      <c r="I29" s="4" t="s">
        <v>17</v>
      </c>
      <c r="J29" s="4" t="s">
        <v>17</v>
      </c>
      <c r="K29" s="5"/>
      <c r="L29" s="6"/>
    </row>
    <row r="30" spans="1:12" ht="18" customHeight="1">
      <c r="A30" s="1" t="s">
        <v>52</v>
      </c>
      <c r="B30" s="1" t="s">
        <v>68</v>
      </c>
      <c r="C30" s="9" t="s">
        <v>24</v>
      </c>
      <c r="D30" s="2" t="s">
        <v>15</v>
      </c>
      <c r="E30" s="7">
        <v>46152</v>
      </c>
      <c r="F30" s="3" t="s">
        <v>35</v>
      </c>
      <c r="G30" s="3"/>
      <c r="H30" s="3"/>
      <c r="I30" s="14" t="s">
        <v>17</v>
      </c>
      <c r="J30" s="4" t="s">
        <v>17</v>
      </c>
      <c r="K30" s="5"/>
      <c r="L30" s="6"/>
    </row>
    <row r="31" spans="1:12" ht="18" customHeight="1">
      <c r="A31" s="1" t="s">
        <v>52</v>
      </c>
      <c r="B31" s="1" t="s">
        <v>69</v>
      </c>
      <c r="C31" s="9" t="s">
        <v>24</v>
      </c>
      <c r="D31" s="2" t="s">
        <v>15</v>
      </c>
      <c r="E31" s="7">
        <v>46156</v>
      </c>
      <c r="F31" s="3" t="s">
        <v>40</v>
      </c>
      <c r="G31" s="3"/>
      <c r="H31" s="3"/>
      <c r="I31" s="4" t="s">
        <v>17</v>
      </c>
      <c r="J31" s="4" t="s">
        <v>17</v>
      </c>
      <c r="K31" s="5"/>
      <c r="L31" s="6"/>
    </row>
    <row r="32" spans="1:12" ht="18" customHeight="1">
      <c r="A32" s="1" t="s">
        <v>70</v>
      </c>
      <c r="B32" s="1" t="s">
        <v>71</v>
      </c>
      <c r="C32" s="9" t="s">
        <v>14</v>
      </c>
      <c r="D32" s="2" t="s">
        <v>15</v>
      </c>
      <c r="E32" s="7">
        <v>46167</v>
      </c>
      <c r="F32" s="3" t="s">
        <v>16</v>
      </c>
      <c r="G32" s="3"/>
      <c r="H32" s="3"/>
      <c r="I32" s="4" t="s">
        <v>17</v>
      </c>
      <c r="J32" s="4" t="s">
        <v>17</v>
      </c>
      <c r="K32" s="5"/>
      <c r="L32" s="6"/>
    </row>
    <row r="33" spans="1:12" ht="18" customHeight="1">
      <c r="A33" s="1" t="s">
        <v>70</v>
      </c>
      <c r="B33" s="1" t="s">
        <v>72</v>
      </c>
      <c r="C33" s="9" t="s">
        <v>14</v>
      </c>
      <c r="D33" s="2" t="s">
        <v>15</v>
      </c>
      <c r="E33" s="7">
        <v>46167</v>
      </c>
      <c r="F33" s="26" t="s">
        <v>35</v>
      </c>
      <c r="G33" s="7" t="s">
        <v>42</v>
      </c>
      <c r="H33" s="3"/>
      <c r="I33" s="4" t="s">
        <v>17</v>
      </c>
      <c r="J33" s="4" t="s">
        <v>17</v>
      </c>
      <c r="K33" s="5"/>
      <c r="L33" s="6"/>
    </row>
    <row r="34" spans="1:12" ht="18" customHeight="1">
      <c r="A34" s="1" t="s">
        <v>70</v>
      </c>
      <c r="B34" s="1" t="s">
        <v>73</v>
      </c>
      <c r="C34" s="9" t="s">
        <v>14</v>
      </c>
      <c r="D34" s="2" t="s">
        <v>15</v>
      </c>
      <c r="E34" s="7">
        <v>46167</v>
      </c>
      <c r="F34" s="3" t="s">
        <v>16</v>
      </c>
      <c r="G34" s="3"/>
      <c r="H34" s="3"/>
      <c r="I34" s="4" t="s">
        <v>17</v>
      </c>
      <c r="J34" s="4" t="s">
        <v>17</v>
      </c>
      <c r="K34" s="5"/>
      <c r="L34" s="6"/>
    </row>
    <row r="35" spans="1:12" ht="18" customHeight="1">
      <c r="A35" s="1" t="s">
        <v>70</v>
      </c>
      <c r="B35" s="1" t="s">
        <v>74</v>
      </c>
      <c r="C35" s="9" t="s">
        <v>27</v>
      </c>
      <c r="D35" s="2" t="s">
        <v>15</v>
      </c>
      <c r="E35" s="7">
        <v>46156</v>
      </c>
      <c r="F35" s="27" t="s">
        <v>38</v>
      </c>
      <c r="G35" s="3"/>
      <c r="H35" s="3"/>
      <c r="I35" s="4" t="s">
        <v>17</v>
      </c>
      <c r="J35" s="4" t="s">
        <v>17</v>
      </c>
      <c r="K35" s="5"/>
      <c r="L35" s="6"/>
    </row>
    <row r="36" spans="1:12" ht="18" customHeight="1">
      <c r="A36" s="1" t="s">
        <v>70</v>
      </c>
      <c r="B36" s="1" t="s">
        <v>75</v>
      </c>
      <c r="C36" s="9" t="s">
        <v>27</v>
      </c>
      <c r="D36" s="2" t="s">
        <v>15</v>
      </c>
      <c r="E36" s="7">
        <v>46156</v>
      </c>
      <c r="F36" s="27" t="s">
        <v>16</v>
      </c>
      <c r="G36" s="3"/>
      <c r="H36" s="3"/>
      <c r="I36" s="4" t="s">
        <v>17</v>
      </c>
      <c r="J36" s="4" t="s">
        <v>17</v>
      </c>
      <c r="K36" s="5"/>
      <c r="L36" s="6"/>
    </row>
    <row r="37" spans="1:12" ht="18" customHeight="1">
      <c r="A37" s="1" t="s">
        <v>70</v>
      </c>
      <c r="B37" s="1" t="s">
        <v>76</v>
      </c>
      <c r="C37" s="9" t="s">
        <v>27</v>
      </c>
      <c r="D37" s="2" t="s">
        <v>15</v>
      </c>
      <c r="E37" s="7">
        <v>46156</v>
      </c>
      <c r="F37" s="27" t="s">
        <v>16</v>
      </c>
      <c r="G37" s="3"/>
      <c r="H37" s="3"/>
      <c r="I37" s="4" t="s">
        <v>17</v>
      </c>
      <c r="J37" s="4" t="s">
        <v>17</v>
      </c>
      <c r="K37" s="5"/>
      <c r="L37" s="6"/>
    </row>
    <row r="38" spans="1:12" ht="18" customHeight="1">
      <c r="A38" s="9" t="s">
        <v>70</v>
      </c>
      <c r="B38" s="1" t="s">
        <v>77</v>
      </c>
      <c r="C38" s="9" t="s">
        <v>27</v>
      </c>
      <c r="D38" s="2" t="s">
        <v>15</v>
      </c>
      <c r="E38" s="7">
        <v>46154</v>
      </c>
      <c r="F38" s="27" t="s">
        <v>64</v>
      </c>
      <c r="G38" s="28" t="s">
        <v>42</v>
      </c>
      <c r="H38" s="28">
        <v>46157</v>
      </c>
      <c r="I38" s="4" t="s">
        <v>17</v>
      </c>
      <c r="J38" s="4" t="s">
        <v>17</v>
      </c>
      <c r="K38" s="5"/>
      <c r="L38" s="6"/>
    </row>
    <row r="39" spans="1:12" ht="18" customHeight="1">
      <c r="A39" s="1" t="s">
        <v>70</v>
      </c>
      <c r="B39" s="1" t="s">
        <v>78</v>
      </c>
      <c r="C39" s="9" t="s">
        <v>27</v>
      </c>
      <c r="D39" s="2" t="s">
        <v>15</v>
      </c>
      <c r="E39" s="7">
        <v>46153</v>
      </c>
      <c r="F39" s="27" t="s">
        <v>21</v>
      </c>
      <c r="G39" s="28" t="s">
        <v>42</v>
      </c>
      <c r="H39" s="3"/>
      <c r="I39" s="4" t="s">
        <v>17</v>
      </c>
      <c r="J39" s="4" t="s">
        <v>17</v>
      </c>
      <c r="K39" s="5"/>
      <c r="L39" s="6"/>
    </row>
    <row r="40" spans="1:12" ht="18" customHeight="1">
      <c r="A40" s="1" t="s">
        <v>70</v>
      </c>
      <c r="B40" s="1" t="s">
        <v>79</v>
      </c>
      <c r="C40" s="9" t="s">
        <v>27</v>
      </c>
      <c r="D40" s="2" t="s">
        <v>15</v>
      </c>
      <c r="E40" s="7">
        <v>46154</v>
      </c>
      <c r="F40" s="27" t="s">
        <v>51</v>
      </c>
      <c r="G40" s="3"/>
      <c r="H40" s="3"/>
      <c r="I40" s="4" t="s">
        <v>17</v>
      </c>
      <c r="J40" s="4" t="s">
        <v>17</v>
      </c>
      <c r="K40" s="5"/>
      <c r="L40" s="6"/>
    </row>
    <row r="41" spans="1:12" ht="18" customHeight="1">
      <c r="A41" s="1" t="s">
        <v>70</v>
      </c>
      <c r="B41" s="1" t="s">
        <v>80</v>
      </c>
      <c r="C41" s="9" t="s">
        <v>27</v>
      </c>
      <c r="D41" s="2" t="s">
        <v>15</v>
      </c>
      <c r="E41" s="7">
        <v>46153</v>
      </c>
      <c r="F41" s="27" t="s">
        <v>16</v>
      </c>
      <c r="G41" s="3"/>
      <c r="H41" s="3"/>
      <c r="I41" s="4" t="s">
        <v>17</v>
      </c>
      <c r="J41" s="4" t="s">
        <v>17</v>
      </c>
      <c r="K41" s="5"/>
      <c r="L41" s="6"/>
    </row>
    <row r="42" spans="1:12" ht="18" customHeight="1">
      <c r="A42" s="1" t="s">
        <v>70</v>
      </c>
      <c r="B42" s="1" t="s">
        <v>81</v>
      </c>
      <c r="C42" s="9" t="s">
        <v>27</v>
      </c>
      <c r="D42" s="2" t="s">
        <v>15</v>
      </c>
      <c r="E42" s="7">
        <v>46152</v>
      </c>
      <c r="F42" s="27" t="s">
        <v>40</v>
      </c>
      <c r="G42" s="3"/>
      <c r="H42" s="3"/>
      <c r="I42" s="4" t="s">
        <v>17</v>
      </c>
      <c r="J42" s="4" t="s">
        <v>17</v>
      </c>
      <c r="K42" s="5"/>
      <c r="L42" s="6"/>
    </row>
    <row r="43" spans="1:12" ht="18" customHeight="1">
      <c r="A43" s="1" t="s">
        <v>70</v>
      </c>
      <c r="B43" s="1" t="s">
        <v>82</v>
      </c>
      <c r="C43" s="9" t="s">
        <v>27</v>
      </c>
      <c r="D43" s="2" t="s">
        <v>15</v>
      </c>
      <c r="E43" s="7">
        <v>46153</v>
      </c>
      <c r="F43" s="27" t="s">
        <v>51</v>
      </c>
      <c r="G43" s="28" t="s">
        <v>42</v>
      </c>
      <c r="H43" s="28">
        <v>46156</v>
      </c>
      <c r="I43" s="4" t="s">
        <v>17</v>
      </c>
      <c r="J43" s="4" t="s">
        <v>17</v>
      </c>
      <c r="K43" s="5"/>
      <c r="L43" s="6"/>
    </row>
    <row r="44" spans="1:12" ht="18" customHeight="1">
      <c r="A44" s="1" t="s">
        <v>70</v>
      </c>
      <c r="B44" s="1" t="s">
        <v>83</v>
      </c>
      <c r="C44" s="9" t="s">
        <v>27</v>
      </c>
      <c r="D44" s="2" t="s">
        <v>15</v>
      </c>
      <c r="E44" s="7">
        <v>46153</v>
      </c>
      <c r="F44" s="27" t="s">
        <v>16</v>
      </c>
      <c r="G44" s="3"/>
      <c r="H44" s="3"/>
      <c r="I44" s="4" t="s">
        <v>17</v>
      </c>
      <c r="J44" s="4" t="s">
        <v>17</v>
      </c>
      <c r="K44" s="5"/>
      <c r="L44" s="6"/>
    </row>
    <row r="45" spans="1:12">
      <c r="A45" s="10" t="s">
        <v>70</v>
      </c>
      <c r="B45" s="10" t="s">
        <v>84</v>
      </c>
      <c r="C45" s="10" t="s">
        <v>27</v>
      </c>
      <c r="D45" s="2" t="s">
        <v>15</v>
      </c>
      <c r="E45" s="12">
        <v>46154</v>
      </c>
      <c r="F45" s="27" t="s">
        <v>38</v>
      </c>
      <c r="G45" s="24" t="s">
        <v>42</v>
      </c>
      <c r="H45" s="13"/>
      <c r="I45" s="14" t="s">
        <v>17</v>
      </c>
      <c r="J45" s="14" t="s">
        <v>17</v>
      </c>
      <c r="K45" s="15"/>
      <c r="L45" s="16"/>
    </row>
    <row r="46" spans="1:12">
      <c r="A46" s="10" t="s">
        <v>70</v>
      </c>
      <c r="B46" s="10" t="s">
        <v>85</v>
      </c>
      <c r="C46" s="10" t="s">
        <v>27</v>
      </c>
      <c r="D46" s="2" t="s">
        <v>15</v>
      </c>
      <c r="E46" s="12">
        <v>46154</v>
      </c>
      <c r="F46" s="27" t="s">
        <v>51</v>
      </c>
      <c r="G46" s="24" t="s">
        <v>42</v>
      </c>
      <c r="H46" s="24">
        <v>46156</v>
      </c>
      <c r="I46" s="14" t="s">
        <v>17</v>
      </c>
      <c r="J46" s="14" t="s">
        <v>17</v>
      </c>
      <c r="K46" s="15"/>
      <c r="L46" s="16"/>
    </row>
    <row r="47" spans="1:12">
      <c r="A47" s="10" t="s">
        <v>86</v>
      </c>
      <c r="B47" s="10" t="s">
        <v>87</v>
      </c>
      <c r="C47" s="10" t="s">
        <v>24</v>
      </c>
      <c r="D47" s="2" t="s">
        <v>15</v>
      </c>
      <c r="E47" s="12">
        <v>46156</v>
      </c>
      <c r="F47" s="26" t="s">
        <v>21</v>
      </c>
      <c r="G47" s="13"/>
      <c r="H47" s="13"/>
      <c r="I47" s="14"/>
      <c r="J47" s="14"/>
      <c r="K47" s="15"/>
      <c r="L47" s="16"/>
    </row>
    <row r="48" spans="1:12">
      <c r="A48" s="10" t="s">
        <v>86</v>
      </c>
      <c r="B48" s="10" t="s">
        <v>88</v>
      </c>
      <c r="C48" s="10" t="s">
        <v>24</v>
      </c>
      <c r="D48" s="2" t="s">
        <v>15</v>
      </c>
      <c r="E48" s="12">
        <v>46157</v>
      </c>
      <c r="F48" s="13" t="s">
        <v>35</v>
      </c>
      <c r="G48" s="13" t="s">
        <v>42</v>
      </c>
      <c r="H48" s="13"/>
      <c r="I48" s="14"/>
      <c r="J48" s="14"/>
      <c r="K48" s="15"/>
      <c r="L48" s="16"/>
    </row>
    <row r="49" spans="1:12">
      <c r="A49" s="10" t="s">
        <v>86</v>
      </c>
      <c r="B49" s="10" t="s">
        <v>89</v>
      </c>
      <c r="C49" s="10" t="s">
        <v>24</v>
      </c>
      <c r="D49" s="2" t="s">
        <v>15</v>
      </c>
      <c r="E49" s="12">
        <v>46156</v>
      </c>
      <c r="F49" s="26" t="s">
        <v>16</v>
      </c>
      <c r="G49" s="13"/>
      <c r="H49" s="13"/>
      <c r="I49" s="14"/>
      <c r="J49" s="14"/>
      <c r="K49" s="15"/>
      <c r="L49" s="16"/>
    </row>
    <row r="50" spans="1:12">
      <c r="A50" s="10" t="s">
        <v>86</v>
      </c>
      <c r="B50" s="10" t="s">
        <v>90</v>
      </c>
      <c r="C50" s="10" t="s">
        <v>24</v>
      </c>
      <c r="D50" s="2" t="s">
        <v>15</v>
      </c>
      <c r="E50" s="12">
        <v>46157</v>
      </c>
      <c r="F50" s="26" t="s">
        <v>64</v>
      </c>
      <c r="G50" s="13"/>
      <c r="H50" s="13"/>
      <c r="I50" s="14"/>
      <c r="J50" s="14"/>
      <c r="K50" s="15"/>
      <c r="L50" s="16"/>
    </row>
    <row r="51" spans="1:12">
      <c r="A51" s="10" t="s">
        <v>91</v>
      </c>
      <c r="B51" s="10" t="s">
        <v>92</v>
      </c>
      <c r="C51" s="10" t="s">
        <v>27</v>
      </c>
      <c r="D51" s="2" t="s">
        <v>93</v>
      </c>
      <c r="E51" s="12">
        <v>46104</v>
      </c>
      <c r="F51" s="27" t="s">
        <v>58</v>
      </c>
      <c r="G51" s="24" t="s">
        <v>94</v>
      </c>
      <c r="H51" s="13"/>
      <c r="I51" s="14" t="s">
        <v>17</v>
      </c>
      <c r="J51" s="14" t="s">
        <v>17</v>
      </c>
      <c r="K51" s="15"/>
      <c r="L51" s="16"/>
    </row>
    <row r="52" spans="1:12">
      <c r="A52" s="10" t="s">
        <v>91</v>
      </c>
      <c r="B52" s="10" t="s">
        <v>95</v>
      </c>
      <c r="C52" s="10" t="s">
        <v>27</v>
      </c>
      <c r="D52" s="2" t="s">
        <v>15</v>
      </c>
      <c r="E52" s="12">
        <v>46154</v>
      </c>
      <c r="F52" s="27" t="s">
        <v>58</v>
      </c>
      <c r="G52" s="24" t="s">
        <v>96</v>
      </c>
      <c r="H52" s="13"/>
      <c r="I52" s="14" t="s">
        <v>17</v>
      </c>
      <c r="J52" s="14" t="s">
        <v>17</v>
      </c>
      <c r="K52" s="15"/>
      <c r="L52" s="16"/>
    </row>
    <row r="53" spans="1:12">
      <c r="A53" s="10" t="s">
        <v>91</v>
      </c>
      <c r="B53" s="10" t="s">
        <v>97</v>
      </c>
      <c r="C53" s="10" t="s">
        <v>27</v>
      </c>
      <c r="D53" s="2" t="s">
        <v>15</v>
      </c>
      <c r="E53" s="12">
        <v>46152</v>
      </c>
      <c r="F53" s="27" t="s">
        <v>51</v>
      </c>
      <c r="G53" s="13" t="s">
        <v>96</v>
      </c>
      <c r="H53" s="13"/>
      <c r="I53" s="14" t="s">
        <v>17</v>
      </c>
      <c r="J53" s="14" t="s">
        <v>17</v>
      </c>
      <c r="K53" s="15"/>
      <c r="L53" s="16"/>
    </row>
    <row r="54" spans="1:12">
      <c r="A54" s="10" t="s">
        <v>91</v>
      </c>
      <c r="B54" s="10" t="s">
        <v>98</v>
      </c>
      <c r="C54" s="10" t="s">
        <v>27</v>
      </c>
      <c r="D54" s="2" t="s">
        <v>15</v>
      </c>
      <c r="E54" s="12">
        <v>46156</v>
      </c>
      <c r="F54" s="27" t="s">
        <v>16</v>
      </c>
      <c r="G54" s="13"/>
      <c r="H54" s="13"/>
      <c r="I54" s="14" t="s">
        <v>17</v>
      </c>
      <c r="J54" s="14" t="s">
        <v>17</v>
      </c>
      <c r="K54" s="15"/>
      <c r="L54" s="16"/>
    </row>
    <row r="55" spans="1:12">
      <c r="A55" s="10" t="s">
        <v>99</v>
      </c>
      <c r="B55" s="10" t="s">
        <v>100</v>
      </c>
      <c r="C55" s="10" t="s">
        <v>101</v>
      </c>
      <c r="D55" s="11" t="s">
        <v>15</v>
      </c>
      <c r="E55" s="12">
        <v>46165</v>
      </c>
      <c r="F55" s="13" t="s">
        <v>102</v>
      </c>
      <c r="G55" s="13"/>
      <c r="H55" s="13"/>
      <c r="I55" s="14" t="s">
        <v>17</v>
      </c>
      <c r="J55" s="14" t="s">
        <v>17</v>
      </c>
      <c r="K55" s="15"/>
      <c r="L55" s="16"/>
    </row>
    <row r="56" spans="1:12">
      <c r="A56" s="10" t="s">
        <v>103</v>
      </c>
      <c r="B56" s="10" t="s">
        <v>104</v>
      </c>
      <c r="C56" s="10" t="s">
        <v>105</v>
      </c>
      <c r="D56" s="11" t="s">
        <v>15</v>
      </c>
      <c r="E56" s="12">
        <v>46156</v>
      </c>
      <c r="F56" s="13" t="s">
        <v>38</v>
      </c>
      <c r="G56" s="13"/>
      <c r="H56" s="13"/>
      <c r="I56" s="14" t="s">
        <v>17</v>
      </c>
      <c r="J56" s="14" t="s">
        <v>17</v>
      </c>
      <c r="K56" s="15"/>
      <c r="L56" s="16"/>
    </row>
    <row r="57" spans="1:12">
      <c r="A57" s="10" t="s">
        <v>103</v>
      </c>
      <c r="B57" s="10" t="s">
        <v>106</v>
      </c>
      <c r="C57" s="10" t="s">
        <v>105</v>
      </c>
      <c r="D57" s="11" t="s">
        <v>15</v>
      </c>
      <c r="E57" s="12">
        <v>46137</v>
      </c>
      <c r="F57" s="13" t="s">
        <v>21</v>
      </c>
      <c r="G57" s="13" t="s">
        <v>96</v>
      </c>
      <c r="H57" s="13"/>
      <c r="I57" s="14" t="s">
        <v>17</v>
      </c>
      <c r="J57" s="14" t="s">
        <v>17</v>
      </c>
      <c r="K57" s="15"/>
      <c r="L57" s="16"/>
    </row>
    <row r="58" spans="1:12">
      <c r="A58" s="10" t="s">
        <v>103</v>
      </c>
      <c r="B58" s="10" t="s">
        <v>107</v>
      </c>
      <c r="C58" s="10" t="s">
        <v>105</v>
      </c>
      <c r="D58" s="11" t="s">
        <v>15</v>
      </c>
      <c r="E58" s="12">
        <v>46155</v>
      </c>
      <c r="F58" s="13" t="s">
        <v>16</v>
      </c>
      <c r="G58" s="13"/>
      <c r="H58" s="13"/>
      <c r="I58" s="14" t="s">
        <v>17</v>
      </c>
      <c r="J58" s="14" t="s">
        <v>17</v>
      </c>
      <c r="K58" s="15"/>
      <c r="L58" s="16"/>
    </row>
    <row r="59" spans="1:12">
      <c r="A59" s="10" t="s">
        <v>108</v>
      </c>
      <c r="B59" s="10" t="s">
        <v>109</v>
      </c>
      <c r="C59" s="10" t="s">
        <v>110</v>
      </c>
      <c r="D59" s="11" t="s">
        <v>15</v>
      </c>
      <c r="E59" s="12">
        <v>46155</v>
      </c>
      <c r="F59" s="13" t="s">
        <v>111</v>
      </c>
      <c r="G59" s="13"/>
      <c r="H59" s="13"/>
      <c r="I59" s="14" t="s">
        <v>17</v>
      </c>
      <c r="J59" s="14"/>
      <c r="K59" s="15"/>
      <c r="L59" s="15"/>
    </row>
    <row r="60" spans="1:12">
      <c r="A60" s="10" t="s">
        <v>108</v>
      </c>
      <c r="B60" s="10" t="s">
        <v>112</v>
      </c>
      <c r="C60" s="10" t="s">
        <v>110</v>
      </c>
      <c r="D60" s="11" t="s">
        <v>15</v>
      </c>
      <c r="E60" s="12">
        <v>46152</v>
      </c>
      <c r="F60" s="13" t="s">
        <v>111</v>
      </c>
      <c r="G60" s="13"/>
      <c r="H60" s="13"/>
      <c r="I60" s="14" t="s">
        <v>17</v>
      </c>
      <c r="J60" s="14"/>
      <c r="K60" s="15"/>
      <c r="L60" s="15"/>
    </row>
    <row r="61" spans="1:12">
      <c r="A61" s="10" t="s">
        <v>108</v>
      </c>
      <c r="B61" s="10" t="s">
        <v>113</v>
      </c>
      <c r="C61" s="10" t="s">
        <v>110</v>
      </c>
      <c r="D61" s="11" t="s">
        <v>15</v>
      </c>
      <c r="E61" s="12">
        <v>46150</v>
      </c>
      <c r="F61" s="13" t="s">
        <v>111</v>
      </c>
      <c r="G61" s="13" t="s">
        <v>42</v>
      </c>
      <c r="H61" s="13"/>
      <c r="I61" s="14" t="s">
        <v>17</v>
      </c>
      <c r="J61" s="14"/>
      <c r="K61" s="15"/>
      <c r="L61" s="15"/>
    </row>
    <row r="62" spans="1:12">
      <c r="A62" s="10" t="s">
        <v>108</v>
      </c>
      <c r="B62" s="10" t="s">
        <v>114</v>
      </c>
      <c r="C62" s="10" t="s">
        <v>110</v>
      </c>
      <c r="D62" s="11" t="s">
        <v>15</v>
      </c>
      <c r="E62" s="12">
        <v>46156</v>
      </c>
      <c r="F62" s="13" t="s">
        <v>38</v>
      </c>
      <c r="G62" s="13"/>
      <c r="H62" s="13"/>
      <c r="I62" s="14" t="s">
        <v>17</v>
      </c>
      <c r="J62" s="14"/>
      <c r="K62" s="15"/>
      <c r="L62" s="15"/>
    </row>
    <row r="63" spans="1:12">
      <c r="A63" s="10" t="s">
        <v>108</v>
      </c>
      <c r="B63" s="10" t="s">
        <v>115</v>
      </c>
      <c r="C63" s="10" t="s">
        <v>110</v>
      </c>
      <c r="D63" s="11" t="s">
        <v>15</v>
      </c>
      <c r="E63" s="12">
        <v>46152</v>
      </c>
      <c r="F63" s="13" t="s">
        <v>21</v>
      </c>
      <c r="G63" s="13" t="s">
        <v>42</v>
      </c>
      <c r="H63" s="13"/>
      <c r="I63" s="14" t="s">
        <v>17</v>
      </c>
      <c r="J63" s="14"/>
      <c r="K63" s="15"/>
      <c r="L63" s="15"/>
    </row>
    <row r="64" spans="1:12">
      <c r="A64" s="10" t="s">
        <v>108</v>
      </c>
      <c r="B64" s="10" t="s">
        <v>116</v>
      </c>
      <c r="C64" s="10" t="s">
        <v>110</v>
      </c>
      <c r="D64" s="11" t="s">
        <v>15</v>
      </c>
      <c r="E64" s="12">
        <v>46149</v>
      </c>
      <c r="F64" s="13" t="s">
        <v>111</v>
      </c>
      <c r="G64" s="13" t="s">
        <v>42</v>
      </c>
      <c r="H64" s="13"/>
      <c r="I64" s="14" t="s">
        <v>17</v>
      </c>
      <c r="J64" s="14"/>
      <c r="K64" s="15"/>
      <c r="L64" s="15"/>
    </row>
    <row r="65" spans="1:12">
      <c r="A65" s="10"/>
      <c r="B65" s="10"/>
      <c r="C65" s="10"/>
      <c r="D65" s="11"/>
      <c r="E65" s="12"/>
      <c r="F65" s="13"/>
      <c r="G65" s="13"/>
      <c r="H65" s="13"/>
      <c r="I65" s="14"/>
      <c r="J65" s="14"/>
      <c r="K65" s="15"/>
      <c r="L65" s="15"/>
    </row>
    <row r="66" spans="1:12">
      <c r="A66" s="10"/>
      <c r="B66" s="10"/>
      <c r="C66" s="10"/>
      <c r="D66" s="11"/>
      <c r="E66" s="12"/>
      <c r="F66" s="13"/>
      <c r="G66" s="13"/>
      <c r="H66" s="13"/>
      <c r="I66" s="14"/>
      <c r="J66" s="14"/>
      <c r="K66" s="15"/>
      <c r="L66" s="15"/>
    </row>
    <row r="67" spans="1:12">
      <c r="A67" s="10"/>
      <c r="B67" s="10"/>
      <c r="C67" s="10"/>
      <c r="D67" s="11"/>
      <c r="E67" s="12"/>
      <c r="F67" s="13"/>
      <c r="G67" s="13"/>
      <c r="H67" s="13"/>
      <c r="I67" s="14"/>
      <c r="J67" s="14"/>
      <c r="K67" s="15"/>
      <c r="L67" s="15"/>
    </row>
    <row r="68" spans="1:12">
      <c r="A68" s="10"/>
      <c r="B68" s="10"/>
      <c r="C68" s="10"/>
      <c r="D68" s="11"/>
      <c r="E68" s="12"/>
      <c r="F68" s="13"/>
      <c r="G68" s="13"/>
      <c r="H68" s="13"/>
      <c r="I68" s="14"/>
      <c r="J68" s="14"/>
      <c r="K68" s="15"/>
      <c r="L68" s="15"/>
    </row>
    <row r="69" spans="1:12">
      <c r="A69" s="10"/>
      <c r="B69" s="10"/>
      <c r="C69" s="10"/>
      <c r="D69" s="11"/>
      <c r="E69" s="12"/>
      <c r="F69" s="13"/>
      <c r="G69" s="13"/>
      <c r="H69" s="13"/>
      <c r="I69" s="14"/>
      <c r="J69" s="14"/>
      <c r="K69" s="15"/>
      <c r="L69" s="15"/>
    </row>
    <row r="70" spans="1:12">
      <c r="A70" s="10"/>
      <c r="B70" s="10"/>
      <c r="C70" s="10"/>
      <c r="D70" s="11"/>
      <c r="E70" s="12"/>
      <c r="F70" s="13"/>
      <c r="G70" s="13"/>
      <c r="H70" s="13"/>
      <c r="I70" s="14"/>
      <c r="J70" s="14"/>
      <c r="K70" s="15"/>
      <c r="L70" s="15"/>
    </row>
    <row r="71" spans="1:12">
      <c r="A71" s="10"/>
      <c r="B71" s="10"/>
      <c r="C71" s="10"/>
      <c r="D71" s="11"/>
      <c r="E71" s="12"/>
      <c r="F71" s="13"/>
      <c r="G71" s="13"/>
      <c r="H71" s="13"/>
      <c r="I71" s="14"/>
      <c r="J71" s="14"/>
      <c r="K71" s="15"/>
      <c r="L71" s="15"/>
    </row>
    <row r="72" spans="1:12">
      <c r="A72" s="10"/>
      <c r="B72" s="10"/>
      <c r="C72" s="10"/>
      <c r="D72" s="11"/>
      <c r="E72" s="12"/>
      <c r="F72" s="13"/>
      <c r="G72" s="13"/>
      <c r="H72" s="13"/>
      <c r="I72" s="14"/>
      <c r="J72" s="14"/>
      <c r="K72" s="15"/>
      <c r="L72" s="15"/>
    </row>
    <row r="73" spans="1:12">
      <c r="A73" s="10"/>
      <c r="B73" s="10"/>
      <c r="C73" s="10"/>
      <c r="D73" s="11"/>
      <c r="E73" s="12"/>
      <c r="F73" s="13"/>
      <c r="G73" s="13"/>
      <c r="H73" s="13"/>
      <c r="I73" s="14"/>
      <c r="J73" s="14"/>
      <c r="K73" s="15"/>
      <c r="L73" s="15"/>
    </row>
    <row r="74" spans="1:12">
      <c r="A74" s="10"/>
      <c r="B74" s="10"/>
      <c r="C74" s="10"/>
      <c r="D74" s="11"/>
      <c r="E74" s="12"/>
      <c r="F74" s="13"/>
      <c r="G74" s="13"/>
      <c r="H74" s="13"/>
      <c r="I74" s="14"/>
      <c r="J74" s="14"/>
      <c r="K74" s="15"/>
      <c r="L74" s="15"/>
    </row>
    <row r="75" spans="1:12">
      <c r="A75" s="10"/>
      <c r="B75" s="10"/>
      <c r="C75" s="10"/>
      <c r="D75" s="11"/>
      <c r="E75" s="12"/>
      <c r="F75" s="13"/>
      <c r="G75" s="13"/>
      <c r="H75" s="13"/>
      <c r="I75" s="14"/>
      <c r="J75" s="14"/>
      <c r="K75" s="15"/>
      <c r="L75" s="15"/>
    </row>
    <row r="76" spans="1:12">
      <c r="A76" s="10"/>
      <c r="B76" s="10"/>
      <c r="C76" s="10"/>
      <c r="D76" s="11"/>
      <c r="E76" s="12"/>
      <c r="F76" s="13"/>
      <c r="G76" s="13"/>
      <c r="H76" s="13"/>
      <c r="I76" s="14"/>
      <c r="J76" s="14"/>
      <c r="K76" s="15"/>
      <c r="L76" s="15"/>
    </row>
    <row r="77" spans="1:12">
      <c r="A77" s="10"/>
      <c r="B77" s="10"/>
      <c r="C77" s="10"/>
      <c r="D77" s="11"/>
      <c r="E77" s="12"/>
      <c r="F77" s="13"/>
      <c r="G77" s="13"/>
      <c r="H77" s="13"/>
      <c r="I77" s="14"/>
      <c r="J77" s="14"/>
      <c r="K77" s="15"/>
      <c r="L77" s="15"/>
    </row>
    <row r="78" spans="1:12">
      <c r="A78" s="10"/>
      <c r="B78" s="10"/>
      <c r="C78" s="10"/>
      <c r="D78" s="11"/>
      <c r="E78" s="12"/>
      <c r="F78" s="13"/>
      <c r="G78" s="13"/>
      <c r="H78" s="13"/>
      <c r="I78" s="14"/>
      <c r="J78" s="14"/>
      <c r="K78" s="15"/>
      <c r="L78" s="15"/>
    </row>
    <row r="79" spans="1:12">
      <c r="A79" s="10"/>
      <c r="B79" s="10"/>
      <c r="C79" s="10"/>
      <c r="D79" s="11"/>
      <c r="E79" s="12"/>
      <c r="F79" s="13"/>
      <c r="G79" s="13"/>
      <c r="H79" s="13"/>
      <c r="I79" s="14"/>
      <c r="J79" s="14"/>
      <c r="K79" s="15"/>
      <c r="L79" s="15"/>
    </row>
    <row r="80" spans="1:12">
      <c r="A80" s="10"/>
      <c r="B80" s="10"/>
      <c r="C80" s="10"/>
      <c r="D80" s="11"/>
      <c r="E80" s="12"/>
      <c r="F80" s="13"/>
      <c r="G80" s="13"/>
      <c r="H80" s="13"/>
      <c r="I80" s="14"/>
      <c r="J80" s="14"/>
      <c r="K80" s="15"/>
      <c r="L80" s="15"/>
    </row>
    <row r="81" spans="1:12">
      <c r="A81" s="10"/>
      <c r="B81" s="10"/>
      <c r="C81" s="10"/>
      <c r="D81" s="11"/>
      <c r="E81" s="12"/>
      <c r="F81" s="13"/>
      <c r="G81" s="13"/>
      <c r="H81" s="13"/>
      <c r="I81" s="14"/>
      <c r="J81" s="14"/>
      <c r="K81" s="15"/>
      <c r="L81" s="15"/>
    </row>
    <row r="82" spans="1:12">
      <c r="A82" s="10"/>
      <c r="B82" s="10"/>
      <c r="C82" s="10"/>
      <c r="D82" s="11"/>
      <c r="E82" s="12"/>
      <c r="F82" s="13"/>
      <c r="G82" s="13"/>
      <c r="H82" s="13"/>
      <c r="I82" s="14"/>
      <c r="J82" s="14"/>
      <c r="K82" s="15"/>
      <c r="L82" s="15"/>
    </row>
    <row r="83" spans="1:12">
      <c r="A83" s="10"/>
      <c r="B83" s="10"/>
      <c r="C83" s="10"/>
      <c r="D83" s="11"/>
      <c r="E83" s="12"/>
      <c r="F83" s="13"/>
      <c r="G83" s="13"/>
      <c r="H83" s="13"/>
      <c r="I83" s="14"/>
      <c r="J83" s="14"/>
      <c r="K83" s="15"/>
      <c r="L83" s="15"/>
    </row>
    <row r="84" spans="1:12">
      <c r="A84" s="10"/>
      <c r="B84" s="10"/>
      <c r="C84" s="10"/>
      <c r="D84" s="11"/>
      <c r="E84" s="12"/>
      <c r="F84" s="13"/>
      <c r="G84" s="13"/>
      <c r="H84" s="13"/>
      <c r="I84" s="14"/>
      <c r="J84" s="14"/>
      <c r="K84" s="15"/>
      <c r="L84" s="15"/>
    </row>
    <row r="85" spans="1:12">
      <c r="A85" s="10"/>
      <c r="B85" s="10"/>
      <c r="C85" s="10"/>
      <c r="D85" s="11"/>
      <c r="E85" s="12"/>
      <c r="F85" s="13"/>
      <c r="G85" s="13"/>
      <c r="H85" s="13"/>
      <c r="I85" s="14"/>
      <c r="J85" s="14"/>
      <c r="K85" s="15"/>
      <c r="L85" s="15"/>
    </row>
    <row r="86" spans="1:12">
      <c r="A86" s="10"/>
      <c r="B86" s="10"/>
      <c r="C86" s="10"/>
      <c r="D86" s="11"/>
      <c r="E86" s="12"/>
      <c r="F86" s="13"/>
      <c r="G86" s="13"/>
      <c r="H86" s="13"/>
      <c r="I86" s="14"/>
      <c r="J86" s="14"/>
      <c r="K86" s="15"/>
      <c r="L86" s="15"/>
    </row>
    <row r="87" spans="1:12">
      <c r="A87" s="10"/>
      <c r="B87" s="10"/>
      <c r="C87" s="10"/>
      <c r="D87" s="11"/>
      <c r="E87" s="12"/>
      <c r="F87" s="13"/>
      <c r="G87" s="13"/>
      <c r="H87" s="13"/>
      <c r="I87" s="14"/>
      <c r="J87" s="14"/>
      <c r="K87" s="15"/>
      <c r="L87" s="15"/>
    </row>
    <row r="88" spans="1:12">
      <c r="A88" s="10"/>
      <c r="B88" s="10"/>
      <c r="C88" s="10"/>
      <c r="D88" s="11"/>
      <c r="E88" s="12"/>
      <c r="F88" s="13"/>
      <c r="G88" s="13"/>
      <c r="H88" s="13"/>
      <c r="I88" s="14"/>
      <c r="J88" s="14"/>
      <c r="K88" s="15"/>
      <c r="L88" s="15"/>
    </row>
    <row r="89" spans="1:12">
      <c r="A89" s="10"/>
      <c r="B89" s="10"/>
      <c r="C89" s="10"/>
      <c r="D89" s="11"/>
      <c r="E89" s="12"/>
      <c r="F89" s="13"/>
      <c r="G89" s="13"/>
      <c r="H89" s="13"/>
      <c r="I89" s="14"/>
      <c r="J89" s="14"/>
      <c r="K89" s="15"/>
      <c r="L89" s="15"/>
    </row>
    <row r="90" spans="1:12">
      <c r="A90" s="10"/>
      <c r="B90" s="10"/>
      <c r="C90" s="10"/>
      <c r="D90" s="11"/>
      <c r="E90" s="12"/>
      <c r="F90" s="13"/>
      <c r="G90" s="13"/>
      <c r="H90" s="13"/>
      <c r="I90" s="14"/>
      <c r="J90" s="14"/>
      <c r="K90" s="15"/>
      <c r="L90" s="15"/>
    </row>
    <row r="91" spans="1:12">
      <c r="A91" s="10"/>
      <c r="B91" s="10"/>
      <c r="C91" s="10"/>
      <c r="D91" s="11"/>
      <c r="E91" s="12"/>
      <c r="F91" s="13"/>
      <c r="G91" s="13"/>
      <c r="H91" s="13"/>
      <c r="I91" s="14"/>
      <c r="J91" s="14"/>
      <c r="K91" s="15"/>
      <c r="L91" s="15"/>
    </row>
    <row r="92" spans="1:12">
      <c r="A92" s="10"/>
      <c r="B92" s="10"/>
      <c r="C92" s="10"/>
      <c r="D92" s="11"/>
      <c r="E92" s="12"/>
      <c r="F92" s="13"/>
      <c r="G92" s="13"/>
      <c r="H92" s="13"/>
      <c r="I92" s="14"/>
      <c r="J92" s="14"/>
      <c r="K92" s="15"/>
      <c r="L92" s="15"/>
    </row>
    <row r="93" spans="1:12">
      <c r="A93" s="10"/>
      <c r="B93" s="10"/>
      <c r="C93" s="10"/>
      <c r="D93" s="11"/>
      <c r="E93" s="12"/>
      <c r="F93" s="13"/>
      <c r="G93" s="13"/>
      <c r="H93" s="13"/>
      <c r="I93" s="14"/>
      <c r="J93" s="14"/>
      <c r="K93" s="15"/>
      <c r="L93" s="15"/>
    </row>
  </sheetData>
  <conditionalFormatting sqref="D2:D87">
    <cfRule type="cellIs" dxfId="18" priority="5" operator="equal">
      <formula>"Pending"</formula>
    </cfRule>
  </conditionalFormatting>
  <conditionalFormatting sqref="D2:D1048576">
    <cfRule type="cellIs" dxfId="17" priority="2" operator="equal">
      <formula>"Rejected"</formula>
    </cfRule>
    <cfRule type="cellIs" dxfId="16" priority="6" operator="equal">
      <formula>"Approved"</formula>
    </cfRule>
  </conditionalFormatting>
  <conditionalFormatting sqref="L5:L6 L13 L16:L19 L21 L2 L29:L1048576 L24:L27">
    <cfRule type="cellIs" dxfId="15" priority="7" operator="equal">
      <formula>"Yes"</formula>
    </cfRule>
  </conditionalFormatting>
  <conditionalFormatting sqref="D1:D1048576">
    <cfRule type="cellIs" dxfId="14" priority="1" operator="equal">
      <formula>"Awaiting"</formula>
    </cfRule>
  </conditionalFormatting>
  <dataValidations count="15">
    <dataValidation type="list" allowBlank="1" showInputMessage="1" showErrorMessage="1" sqref="L1" xr:uid="{C9E1CC0B-F177-4159-A5FC-7CF7456B2E48}">
      <formula1>"Yes"</formula1>
    </dataValidation>
    <dataValidation type="list" allowBlank="1" showInputMessage="1" showErrorMessage="1" sqref="L95:L1048576" xr:uid="{0C16F047-B1F7-447F-ACE0-003DE6371078}">
      <formula1>"Yes,No"</formula1>
    </dataValidation>
    <dataValidation type="list" allowBlank="1" showInputMessage="1" showErrorMessage="1" sqref="C95:C1048576" xr:uid="{788899CE-91E9-43D4-9C19-20A09FCF169C}">
      <formula1>"Amanish,Priyanshu,Abhinav,Shreya,Mayur,Akshay,Kezar,Anubhav"</formula1>
    </dataValidation>
    <dataValidation type="list" allowBlank="1" promptTitle="DNV Update Status" prompt="Has DNV data been updated for biofuel?" sqref="K2:K58" xr:uid="{00000000-0002-0000-0000-000006000000}">
      <formula1>"Yes,No,Pending"</formula1>
      <formula2>0</formula2>
    </dataValidation>
    <dataValidation type="list" allowBlank="1" promptTitle="Biofuel Onboard" prompt="Is biofuel currently onboard?" sqref="J1:J1048576" xr:uid="{63CF6D2C-7642-4A10-BF4A-594AE729F778}">
      <formula1>"YES,NO"</formula1>
    </dataValidation>
    <dataValidation type="list" allowBlank="1" showInputMessage="1" showErrorMessage="1" sqref="L2:L94" xr:uid="{0A6C6A83-E627-4E1F-BFE5-686018F5DC86}">
      <formula1>"DNV,Verifavia"</formula1>
    </dataValidation>
    <dataValidation type="list" allowBlank="1" showInputMessage="1" showErrorMessage="1" sqref="C19:C94" xr:uid="{F6320D31-1FC4-4486-82B9-A2D0FB0BF220}">
      <formula1>"Amanish,Priyanshu,Abhinav,Shreya,Mayur,Akshay,Kezar,Anubhav,N/A"</formula1>
    </dataValidation>
    <dataValidation type="list" allowBlank="1" promptTitle="Approval Status" prompt="Select the current approval status." sqref="D1:D1048576" xr:uid="{F8505920-1F22-4784-930C-32852F290A9D}">
      <formula1>"Approved,Pending,Awaiting,Rejected,Resubmit Required"</formula1>
    </dataValidation>
    <dataValidation type="list" allowBlank="1" promptTitle="Issue Type" prompt="Select the primary issue category." sqref="H1:H12 H14:H1048576" xr:uid="{14110CBA-9572-43FE-8967-D49120D2F089}">
      <formula1>"No Resolved"</formula1>
    </dataValidation>
    <dataValidation type="list" allowBlank="1" promptTitle="Issue Type" prompt="Select the primary issue category." sqref="F95:F1048576" xr:uid="{A9C7AD4C-A990-46C6-9651-AC377B0F44DA}">
      <formula1>"No Issues,Data Error,BDN pending,Missing Document,Incorrect Information,Others"</formula1>
    </dataValidation>
    <dataValidation type="list" allowBlank="1" showInputMessage="1" promptTitle="Issue Type" prompt="Select the primary issue category." sqref="G1:G1048576 H13" xr:uid="{D07980E4-0FE9-4D58-ABED-645A471B4B1E}">
      <formula1>"Jan, Feb, Mar, Apr, May, Jun, Jul, Aug, Sep, Oct, Nov, Dec"</formula1>
    </dataValidation>
    <dataValidation type="list" allowBlank="1" promptTitle="Issue Type" prompt="Select the primary issue category." sqref="F1 F65:F94" xr:uid="{98A544CB-3950-4668-A8F4-F5A765C76368}">
      <formula1>"UNLOCODE Errors, Consumption Error, Duration Error, Cargo Consistency Error, Port Code Consistency Error, Distance Daviation Error, Missing Field Error, Event Sequence Error, No Issues,Data Error,BDN pending,Missing Document,Incorrect Information,Others"</formula1>
    </dataValidation>
    <dataValidation type="list" allowBlank="1" promptTitle="Issue Type" prompt="Select the primary issue category." sqref="F2:F64" xr:uid="{D1EFB178-A347-4E1E-A07F-5F64557ACEC6}">
      <formula1>"UNLOCODE Errors, Consumption Error, Duration Error, Cargo Consistency Error, Port Code Consistency Error, Distance Deviation Error, Missing Field Error, Event Sequence Error, No Issues,Data Error,BDN pending,Missing Document,Incorrect Information,Others"</formula1>
    </dataValidation>
    <dataValidation type="list" allowBlank="1" promptTitle="Biofuel History" prompt="Is there a biofuel history for this vessel?" sqref="I1:I29 I31:I1048576" xr:uid="{32F794B9-22D3-4040-871A-11B69ECB0102}">
      <formula1>"YES,NO"</formula1>
    </dataValidation>
    <dataValidation type="list" allowBlank="1" showInputMessage="1" showErrorMessage="1" sqref="C1:C18" xr:uid="{2BAB6E13-FBA4-4F3F-A480-BF6A866664CB}">
      <formula1>"Amansinh,Abhinav,Shreya,Mayur,Akshay,Kezar,Anubhav,N/A"</formula1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1066-154E-4A1D-955C-033801B36CA8}">
  <dimension ref="A1:H13"/>
  <sheetViews>
    <sheetView workbookViewId="0"/>
  </sheetViews>
  <sheetFormatPr defaultRowHeight="15"/>
  <cols>
    <col min="2" max="2" width="15.140625" bestFit="1" customWidth="1"/>
    <col min="3" max="4" width="15.140625" customWidth="1"/>
    <col min="5" max="5" width="14.42578125" customWidth="1"/>
    <col min="6" max="6" width="14" customWidth="1"/>
    <col min="7" max="7" width="15.42578125" customWidth="1"/>
    <col min="8" max="8" width="13.85546875" customWidth="1"/>
  </cols>
  <sheetData>
    <row r="1" spans="1:8" ht="45.75">
      <c r="A1" s="29" t="s">
        <v>117</v>
      </c>
      <c r="B1" s="30" t="s">
        <v>118</v>
      </c>
      <c r="C1" s="31" t="s">
        <v>119</v>
      </c>
      <c r="D1" s="31" t="s">
        <v>120</v>
      </c>
      <c r="E1" s="31" t="s">
        <v>121</v>
      </c>
      <c r="F1" s="31" t="s">
        <v>122</v>
      </c>
      <c r="G1" s="31" t="s">
        <v>123</v>
      </c>
      <c r="H1" s="31" t="s">
        <v>124</v>
      </c>
    </row>
    <row r="2" spans="1:8">
      <c r="A2" s="32" t="s">
        <v>86</v>
      </c>
      <c r="B2" s="33">
        <v>4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</row>
    <row r="3" spans="1:8">
      <c r="A3" s="32" t="s">
        <v>91</v>
      </c>
      <c r="B3" s="33">
        <v>3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</row>
    <row r="4" spans="1:8">
      <c r="A4" s="32" t="s">
        <v>19</v>
      </c>
      <c r="B4" s="33">
        <v>2</v>
      </c>
      <c r="C4" s="33">
        <v>5</v>
      </c>
      <c r="D4" s="33">
        <v>3</v>
      </c>
      <c r="E4" s="33">
        <v>1</v>
      </c>
      <c r="F4" s="33">
        <v>2</v>
      </c>
      <c r="G4" s="33">
        <v>2</v>
      </c>
      <c r="H4" s="33">
        <v>0</v>
      </c>
    </row>
    <row r="5" spans="1:8">
      <c r="A5" s="32" t="s">
        <v>59</v>
      </c>
      <c r="B5" s="33">
        <v>2</v>
      </c>
      <c r="C5" s="33">
        <v>3</v>
      </c>
      <c r="D5" s="33">
        <v>2</v>
      </c>
      <c r="E5" s="33">
        <v>0</v>
      </c>
      <c r="F5" s="33">
        <v>1</v>
      </c>
      <c r="G5" s="33">
        <v>1</v>
      </c>
      <c r="H5" s="33">
        <v>0</v>
      </c>
    </row>
    <row r="6" spans="1:8">
      <c r="A6" s="32" t="s">
        <v>12</v>
      </c>
      <c r="B6" s="33">
        <v>16</v>
      </c>
      <c r="C6" s="33">
        <v>40</v>
      </c>
      <c r="D6" s="33">
        <v>35</v>
      </c>
      <c r="E6" s="33">
        <v>15</v>
      </c>
      <c r="F6" s="33">
        <v>29</v>
      </c>
      <c r="G6" s="33">
        <v>20</v>
      </c>
      <c r="H6" s="33">
        <v>9</v>
      </c>
    </row>
    <row r="7" spans="1:8">
      <c r="A7" s="32" t="s">
        <v>125</v>
      </c>
      <c r="B7" s="33">
        <v>24</v>
      </c>
      <c r="C7" s="33">
        <v>57</v>
      </c>
      <c r="D7" s="33">
        <v>52</v>
      </c>
      <c r="E7" s="33">
        <v>45</v>
      </c>
      <c r="F7" s="33">
        <v>55</v>
      </c>
      <c r="G7" s="33">
        <v>41</v>
      </c>
      <c r="H7" s="33">
        <v>30</v>
      </c>
    </row>
    <row r="8" spans="1:8">
      <c r="A8" s="32" t="s">
        <v>126</v>
      </c>
      <c r="B8" s="33">
        <v>73</v>
      </c>
      <c r="C8" s="33">
        <v>221</v>
      </c>
      <c r="D8" s="33">
        <v>198</v>
      </c>
      <c r="E8" s="33">
        <v>187</v>
      </c>
      <c r="F8" s="33">
        <v>230</v>
      </c>
      <c r="G8" s="33">
        <v>185</v>
      </c>
      <c r="H8" s="33">
        <v>152</v>
      </c>
    </row>
    <row r="9" spans="1:8">
      <c r="A9" s="32" t="s">
        <v>127</v>
      </c>
      <c r="B9" s="33">
        <v>15</v>
      </c>
      <c r="C9" s="33">
        <v>10</v>
      </c>
      <c r="D9" s="33">
        <v>7</v>
      </c>
      <c r="E9" s="33">
        <v>0</v>
      </c>
      <c r="F9" s="33">
        <v>0</v>
      </c>
      <c r="G9" s="33">
        <v>0</v>
      </c>
      <c r="H9" s="33">
        <v>0</v>
      </c>
    </row>
    <row r="10" spans="1:8">
      <c r="A10" s="32" t="s">
        <v>52</v>
      </c>
      <c r="B10" s="33">
        <v>5</v>
      </c>
      <c r="C10" s="33">
        <v>15</v>
      </c>
      <c r="D10" s="33">
        <v>10</v>
      </c>
      <c r="E10" s="33">
        <v>2</v>
      </c>
      <c r="F10" s="33">
        <v>9</v>
      </c>
      <c r="G10" s="33">
        <v>6</v>
      </c>
      <c r="H10" s="33">
        <v>3</v>
      </c>
    </row>
    <row r="11" spans="1:8">
      <c r="A11" s="32" t="s">
        <v>62</v>
      </c>
      <c r="B11" s="33">
        <v>1</v>
      </c>
      <c r="C11" s="33">
        <v>5</v>
      </c>
      <c r="D11" s="33">
        <v>0</v>
      </c>
      <c r="E11" s="33">
        <v>1</v>
      </c>
      <c r="F11" s="33">
        <v>1</v>
      </c>
      <c r="G11" s="33">
        <v>2</v>
      </c>
      <c r="H11" s="33">
        <v>1</v>
      </c>
    </row>
    <row r="12" spans="1:8">
      <c r="A12" s="32" t="s">
        <v>66</v>
      </c>
      <c r="B12" s="33">
        <v>1</v>
      </c>
      <c r="C12" s="33">
        <v>8</v>
      </c>
      <c r="D12" s="33">
        <v>5</v>
      </c>
      <c r="E12" s="33">
        <v>1</v>
      </c>
      <c r="F12" s="33">
        <v>2</v>
      </c>
      <c r="G12" s="33">
        <v>1</v>
      </c>
      <c r="H12" s="33">
        <v>0</v>
      </c>
    </row>
    <row r="13" spans="1:8">
      <c r="A13" s="34" t="s">
        <v>128</v>
      </c>
      <c r="B13" s="35">
        <v>146</v>
      </c>
      <c r="C13" s="35">
        <f>SUM(C2:C12)</f>
        <v>364</v>
      </c>
      <c r="D13" s="35">
        <f>SUM(D2:D12)</f>
        <v>312</v>
      </c>
      <c r="E13" s="35">
        <f>SUM(E2:E12)</f>
        <v>252</v>
      </c>
      <c r="F13" s="35">
        <f>SUM(F2:F12)</f>
        <v>329</v>
      </c>
      <c r="G13" s="35">
        <f>SUM(G2:G12)</f>
        <v>258</v>
      </c>
      <c r="H13" s="35">
        <f>SUM(H2:H12)</f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2026-05-12T10:36:54Z</dcterms:created>
  <dcterms:modified xsi:type="dcterms:W3CDTF">2026-05-26T18:43:35Z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2026-05-12T10:59:07Z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37df8442-772f-4398-80a1-5a91dea2e85c</vt:lpwstr>
  </property>
  <property fmtid="{D5CDD505-2E9C-101B-9397-08002B2CF9AE}" pid="7" name="MSIP_Label_defa4170-0d19-0005-0004-bc88714345d2_ActionId">
    <vt:lpwstr>ef8ef16a-98bc-4ddd-b228-6b84ae3682fc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